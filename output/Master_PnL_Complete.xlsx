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ownloads\Project_PnL\"/>
    </mc:Choice>
  </mc:AlternateContent>
  <xr:revisionPtr revIDLastSave="0" documentId="13_ncr:1_{4CB6F6A2-7363-4553-BB30-864DB21D0F59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Data" sheetId="1" r:id="rId1"/>
    <sheet name="Annual P&amp;L" sheetId="2" r:id="rId2"/>
    <sheet name="Monthly P&amp;L" sheetId="3" r:id="rId3"/>
  </sheets>
  <calcPr calcId="191029"/>
  <pivotCaches>
    <pivotCache cacheId="8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8" i="1" l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9" i="1"/>
  <c r="D8" i="1"/>
  <c r="D7" i="1"/>
  <c r="D6" i="1"/>
  <c r="D5" i="1"/>
  <c r="D4" i="1"/>
  <c r="D3" i="1"/>
  <c r="D2" i="1"/>
  <c r="D10" i="1"/>
  <c r="AE108" i="1"/>
  <c r="AC108" i="1"/>
  <c r="AA108" i="1"/>
  <c r="Z108" i="1"/>
  <c r="AE107" i="1"/>
  <c r="AC107" i="1"/>
  <c r="AA107" i="1"/>
  <c r="Z107" i="1"/>
  <c r="AE106" i="1"/>
  <c r="AC106" i="1"/>
  <c r="AA106" i="1"/>
  <c r="Z106" i="1"/>
  <c r="AE105" i="1"/>
  <c r="AC105" i="1"/>
  <c r="AA105" i="1"/>
  <c r="Z105" i="1"/>
  <c r="AE104" i="1"/>
  <c r="AC104" i="1"/>
  <c r="AA104" i="1"/>
  <c r="Z104" i="1"/>
  <c r="AE103" i="1"/>
  <c r="AC103" i="1"/>
  <c r="AA103" i="1"/>
  <c r="Z103" i="1"/>
  <c r="AE102" i="1"/>
  <c r="AC102" i="1"/>
  <c r="AA102" i="1"/>
  <c r="Z102" i="1"/>
  <c r="AE101" i="1"/>
  <c r="AC101" i="1"/>
  <c r="AA101" i="1"/>
  <c r="Z101" i="1"/>
  <c r="AE100" i="1"/>
  <c r="AC100" i="1"/>
  <c r="AA100" i="1"/>
  <c r="Z100" i="1"/>
  <c r="AE99" i="1"/>
  <c r="AC99" i="1"/>
  <c r="AA99" i="1"/>
  <c r="Z99" i="1"/>
  <c r="AE98" i="1"/>
  <c r="AC98" i="1"/>
  <c r="AA98" i="1"/>
  <c r="Z98" i="1"/>
  <c r="AE97" i="1"/>
  <c r="AC97" i="1"/>
  <c r="AA97" i="1"/>
  <c r="Z97" i="1"/>
  <c r="AE96" i="1"/>
  <c r="AC96" i="1"/>
  <c r="AA96" i="1"/>
  <c r="Z96" i="1"/>
  <c r="AE95" i="1"/>
  <c r="AC95" i="1"/>
  <c r="AA95" i="1"/>
  <c r="Z95" i="1"/>
  <c r="AE94" i="1"/>
  <c r="AC94" i="1"/>
  <c r="AA94" i="1"/>
  <c r="Z94" i="1"/>
  <c r="AE93" i="1"/>
  <c r="AC93" i="1"/>
  <c r="AA93" i="1"/>
  <c r="Z93" i="1"/>
  <c r="AE92" i="1"/>
  <c r="AC92" i="1"/>
  <c r="AA92" i="1"/>
  <c r="Z92" i="1"/>
  <c r="AE91" i="1"/>
  <c r="AC91" i="1"/>
  <c r="AA91" i="1"/>
  <c r="Z91" i="1"/>
  <c r="AE90" i="1"/>
  <c r="AC90" i="1"/>
  <c r="AA90" i="1"/>
  <c r="Z90" i="1"/>
  <c r="AE89" i="1"/>
  <c r="AC89" i="1"/>
  <c r="AA89" i="1"/>
  <c r="Z89" i="1"/>
  <c r="AE88" i="1"/>
  <c r="AC88" i="1"/>
  <c r="AA88" i="1"/>
  <c r="Z88" i="1"/>
  <c r="AE87" i="1"/>
  <c r="AC87" i="1"/>
  <c r="AA87" i="1"/>
  <c r="Z87" i="1"/>
  <c r="AE86" i="1"/>
  <c r="AC86" i="1"/>
  <c r="AA86" i="1"/>
  <c r="Z86" i="1"/>
  <c r="AE85" i="1"/>
  <c r="AC85" i="1"/>
  <c r="AA85" i="1"/>
  <c r="Z85" i="1"/>
  <c r="AE84" i="1"/>
  <c r="AC84" i="1"/>
  <c r="AA84" i="1"/>
  <c r="Z84" i="1"/>
  <c r="AE83" i="1"/>
  <c r="AC83" i="1"/>
  <c r="AA83" i="1"/>
  <c r="Z83" i="1"/>
  <c r="AE82" i="1"/>
  <c r="AC82" i="1"/>
  <c r="AA82" i="1"/>
  <c r="Z82" i="1"/>
  <c r="AE81" i="1"/>
  <c r="AC81" i="1"/>
  <c r="AA81" i="1"/>
  <c r="Z81" i="1"/>
  <c r="AE80" i="1"/>
  <c r="AC80" i="1"/>
  <c r="AA80" i="1"/>
  <c r="Z80" i="1"/>
  <c r="AE79" i="1"/>
  <c r="AC79" i="1"/>
  <c r="AA79" i="1"/>
  <c r="Z79" i="1"/>
  <c r="AE78" i="1"/>
  <c r="AC78" i="1"/>
  <c r="AA78" i="1"/>
  <c r="Z78" i="1"/>
  <c r="AE77" i="1"/>
  <c r="AC77" i="1"/>
  <c r="AA77" i="1"/>
  <c r="Z77" i="1"/>
  <c r="AE76" i="1"/>
  <c r="AC76" i="1"/>
  <c r="AA76" i="1"/>
  <c r="Z76" i="1"/>
  <c r="AE75" i="1"/>
  <c r="AC75" i="1"/>
  <c r="AA75" i="1"/>
  <c r="Z75" i="1"/>
  <c r="AE74" i="1"/>
  <c r="AC74" i="1"/>
  <c r="AA74" i="1"/>
  <c r="Z74" i="1"/>
  <c r="AE73" i="1"/>
  <c r="AC73" i="1"/>
  <c r="AA73" i="1"/>
  <c r="Z73" i="1"/>
  <c r="AE72" i="1"/>
  <c r="AC72" i="1"/>
  <c r="AA72" i="1"/>
  <c r="Z72" i="1"/>
  <c r="AE71" i="1"/>
  <c r="AC71" i="1"/>
  <c r="AA71" i="1"/>
  <c r="Z71" i="1"/>
  <c r="AE70" i="1"/>
  <c r="AC70" i="1"/>
  <c r="AA70" i="1"/>
  <c r="Z70" i="1"/>
  <c r="AE69" i="1"/>
  <c r="AC69" i="1"/>
  <c r="AA69" i="1"/>
  <c r="Z69" i="1"/>
  <c r="AE68" i="1"/>
  <c r="AC68" i="1"/>
  <c r="AA68" i="1"/>
  <c r="Z68" i="1"/>
  <c r="AE67" i="1"/>
  <c r="AC67" i="1"/>
  <c r="AA67" i="1"/>
  <c r="Z67" i="1"/>
  <c r="AE66" i="1"/>
  <c r="AC66" i="1"/>
  <c r="AA66" i="1"/>
  <c r="Z66" i="1"/>
  <c r="AE65" i="1"/>
  <c r="AC65" i="1"/>
  <c r="AA65" i="1"/>
  <c r="Z65" i="1"/>
  <c r="AE64" i="1"/>
  <c r="AC64" i="1"/>
  <c r="AA64" i="1"/>
  <c r="Z64" i="1"/>
  <c r="AE63" i="1"/>
  <c r="AC63" i="1"/>
  <c r="AA63" i="1"/>
  <c r="Z63" i="1"/>
  <c r="AE62" i="1"/>
  <c r="AC62" i="1"/>
  <c r="AA62" i="1"/>
  <c r="Z62" i="1"/>
  <c r="AE61" i="1"/>
  <c r="AC61" i="1"/>
  <c r="AA61" i="1"/>
  <c r="Z61" i="1"/>
  <c r="AE60" i="1"/>
  <c r="AC60" i="1"/>
  <c r="AA60" i="1"/>
  <c r="Z60" i="1"/>
  <c r="AE59" i="1"/>
  <c r="AC59" i="1"/>
  <c r="AA59" i="1"/>
  <c r="Z59" i="1"/>
  <c r="AE58" i="1"/>
  <c r="AC58" i="1"/>
  <c r="AA58" i="1"/>
  <c r="Z58" i="1"/>
  <c r="AE57" i="1"/>
  <c r="AC57" i="1"/>
  <c r="AA57" i="1"/>
  <c r="Z57" i="1"/>
  <c r="AE56" i="1"/>
  <c r="AC56" i="1"/>
  <c r="AA56" i="1"/>
  <c r="Z56" i="1"/>
  <c r="AE55" i="1"/>
  <c r="AC55" i="1"/>
  <c r="AA55" i="1"/>
  <c r="Z55" i="1"/>
  <c r="AE54" i="1"/>
  <c r="AC54" i="1"/>
  <c r="AA54" i="1"/>
  <c r="Z54" i="1"/>
  <c r="AE53" i="1"/>
  <c r="AC53" i="1"/>
  <c r="AA53" i="1"/>
  <c r="Z53" i="1"/>
  <c r="AE52" i="1"/>
  <c r="AC52" i="1"/>
  <c r="AA52" i="1"/>
  <c r="Z52" i="1"/>
  <c r="AE51" i="1"/>
  <c r="AC51" i="1"/>
  <c r="AA51" i="1"/>
  <c r="Z51" i="1"/>
  <c r="AE50" i="1"/>
  <c r="AC50" i="1"/>
  <c r="AA50" i="1"/>
  <c r="Z50" i="1"/>
  <c r="AE49" i="1"/>
  <c r="AC49" i="1"/>
  <c r="AA49" i="1"/>
  <c r="Z49" i="1"/>
  <c r="AE48" i="1"/>
  <c r="AC48" i="1"/>
  <c r="AA48" i="1"/>
  <c r="Z48" i="1"/>
  <c r="AE47" i="1"/>
  <c r="AC47" i="1"/>
  <c r="AA47" i="1"/>
  <c r="Z47" i="1"/>
  <c r="AE46" i="1"/>
  <c r="AC46" i="1"/>
  <c r="AA46" i="1"/>
  <c r="Z46" i="1"/>
  <c r="AE45" i="1"/>
  <c r="AC45" i="1"/>
  <c r="AA45" i="1"/>
  <c r="Z45" i="1"/>
  <c r="AE44" i="1"/>
  <c r="AC44" i="1"/>
  <c r="AA44" i="1"/>
  <c r="Z44" i="1"/>
  <c r="AE43" i="1"/>
  <c r="AC43" i="1"/>
  <c r="AA43" i="1"/>
  <c r="Z43" i="1"/>
  <c r="AE42" i="1"/>
  <c r="AC42" i="1"/>
  <c r="AA42" i="1"/>
  <c r="Z42" i="1"/>
  <c r="AE41" i="1"/>
  <c r="AC41" i="1"/>
  <c r="AA41" i="1"/>
  <c r="Z41" i="1"/>
  <c r="AE40" i="1"/>
  <c r="AC40" i="1"/>
  <c r="AA40" i="1"/>
  <c r="Z40" i="1"/>
  <c r="AE39" i="1"/>
  <c r="AC39" i="1"/>
  <c r="AA39" i="1"/>
  <c r="Z39" i="1"/>
  <c r="AE38" i="1"/>
  <c r="AC38" i="1"/>
  <c r="AA38" i="1"/>
  <c r="Z38" i="1"/>
  <c r="AE37" i="1"/>
  <c r="AC37" i="1"/>
  <c r="AA37" i="1"/>
  <c r="Z37" i="1"/>
  <c r="AE36" i="1"/>
  <c r="AC36" i="1"/>
  <c r="AA36" i="1"/>
  <c r="Z36" i="1"/>
  <c r="AE35" i="1"/>
  <c r="AC35" i="1"/>
  <c r="AA35" i="1"/>
  <c r="Z35" i="1"/>
  <c r="AE34" i="1"/>
  <c r="AC34" i="1"/>
  <c r="AA34" i="1"/>
  <c r="Z34" i="1"/>
  <c r="AE33" i="1"/>
  <c r="AC33" i="1"/>
  <c r="AA33" i="1"/>
  <c r="Z33" i="1"/>
  <c r="AE32" i="1"/>
  <c r="AC32" i="1"/>
  <c r="AA32" i="1"/>
  <c r="Z32" i="1"/>
  <c r="AE31" i="1"/>
  <c r="AC31" i="1"/>
  <c r="AA31" i="1"/>
  <c r="Z31" i="1"/>
  <c r="AE30" i="1"/>
  <c r="AC30" i="1"/>
  <c r="AA30" i="1"/>
  <c r="Z30" i="1"/>
  <c r="AE29" i="1"/>
  <c r="AC29" i="1"/>
  <c r="AA29" i="1"/>
  <c r="Z29" i="1"/>
  <c r="AE28" i="1"/>
  <c r="AC28" i="1"/>
  <c r="AA28" i="1"/>
  <c r="Z28" i="1"/>
  <c r="AE27" i="1"/>
  <c r="AC27" i="1"/>
  <c r="AA27" i="1"/>
  <c r="Z27" i="1"/>
  <c r="AE26" i="1"/>
  <c r="AC26" i="1"/>
  <c r="AA26" i="1"/>
  <c r="Z26" i="1"/>
  <c r="AE25" i="1"/>
  <c r="AC25" i="1"/>
  <c r="AA25" i="1"/>
  <c r="Z25" i="1"/>
  <c r="AE24" i="1"/>
  <c r="AC24" i="1"/>
  <c r="AA24" i="1"/>
  <c r="Z24" i="1"/>
  <c r="AE23" i="1"/>
  <c r="AC23" i="1"/>
  <c r="AA23" i="1"/>
  <c r="Z23" i="1"/>
  <c r="AE22" i="1"/>
  <c r="AC22" i="1"/>
  <c r="AA22" i="1"/>
  <c r="Z22" i="1"/>
  <c r="AE21" i="1"/>
  <c r="AC21" i="1"/>
  <c r="AA21" i="1"/>
  <c r="Z21" i="1"/>
  <c r="AE20" i="1"/>
  <c r="AC20" i="1"/>
  <c r="AA20" i="1"/>
  <c r="Z20" i="1"/>
  <c r="AE19" i="1"/>
  <c r="AC19" i="1"/>
  <c r="AA19" i="1"/>
  <c r="Z19" i="1"/>
  <c r="AE18" i="1"/>
  <c r="AC18" i="1"/>
  <c r="AA18" i="1"/>
  <c r="Z18" i="1"/>
  <c r="AE17" i="1"/>
  <c r="AC17" i="1"/>
  <c r="AA17" i="1"/>
  <c r="Z17" i="1"/>
  <c r="AE16" i="1"/>
  <c r="AC16" i="1"/>
  <c r="AA16" i="1"/>
  <c r="Z16" i="1"/>
  <c r="AE15" i="1"/>
  <c r="AC15" i="1"/>
  <c r="AA15" i="1"/>
  <c r="Z15" i="1"/>
  <c r="AE14" i="1"/>
  <c r="AC14" i="1"/>
  <c r="AA14" i="1"/>
  <c r="Z14" i="1"/>
  <c r="AE13" i="1"/>
  <c r="AC13" i="1"/>
  <c r="AA13" i="1"/>
  <c r="Z13" i="1"/>
  <c r="AE12" i="1"/>
  <c r="AC12" i="1"/>
  <c r="AA12" i="1"/>
  <c r="Z12" i="1"/>
  <c r="AE11" i="1"/>
  <c r="AC11" i="1"/>
  <c r="AA11" i="1"/>
  <c r="Z11" i="1"/>
  <c r="AE10" i="1"/>
  <c r="AC10" i="1"/>
  <c r="AA10" i="1"/>
  <c r="Z10" i="1"/>
  <c r="AE9" i="1"/>
  <c r="AC9" i="1"/>
  <c r="AA9" i="1"/>
  <c r="Z9" i="1"/>
  <c r="AE8" i="1"/>
  <c r="AC8" i="1"/>
  <c r="AA8" i="1"/>
  <c r="Z8" i="1"/>
  <c r="AE7" i="1"/>
  <c r="AC7" i="1"/>
  <c r="AA7" i="1"/>
  <c r="Z7" i="1"/>
  <c r="AE6" i="1"/>
  <c r="AC6" i="1"/>
  <c r="AA6" i="1"/>
  <c r="Z6" i="1"/>
  <c r="AE5" i="1"/>
  <c r="AC5" i="1"/>
  <c r="AA5" i="1"/>
  <c r="Z5" i="1"/>
  <c r="AE4" i="1"/>
  <c r="AC4" i="1"/>
  <c r="AA4" i="1"/>
  <c r="Z4" i="1"/>
  <c r="AE3" i="1"/>
  <c r="AC3" i="1"/>
  <c r="AA3" i="1"/>
  <c r="Z3" i="1"/>
  <c r="AE2" i="1"/>
  <c r="AC2" i="1"/>
  <c r="AA2" i="1"/>
  <c r="Z2" i="1"/>
  <c r="AB90" i="1" l="1"/>
  <c r="AB38" i="1"/>
  <c r="AB43" i="1"/>
  <c r="AB3" i="1"/>
  <c r="AB2" i="1"/>
  <c r="AB108" i="1"/>
  <c r="AB107" i="1"/>
  <c r="AB106" i="1"/>
  <c r="AB105" i="1"/>
  <c r="AB104" i="1"/>
  <c r="AB103" i="1"/>
  <c r="AB102" i="1"/>
  <c r="AB101" i="1"/>
  <c r="AB100" i="1"/>
  <c r="AB99" i="1"/>
  <c r="AB98" i="1"/>
  <c r="AB97" i="1"/>
  <c r="AB96" i="1"/>
  <c r="AB95" i="1"/>
  <c r="AB94" i="1"/>
  <c r="AB93" i="1"/>
  <c r="AB92" i="1"/>
  <c r="AB91" i="1"/>
  <c r="AD90" i="1"/>
  <c r="AB89" i="1"/>
  <c r="AB88" i="1"/>
  <c r="AB87" i="1"/>
  <c r="AB86" i="1"/>
  <c r="AB85" i="1"/>
  <c r="AB84" i="1"/>
  <c r="AB83" i="1"/>
  <c r="AB82" i="1"/>
  <c r="AB81" i="1"/>
  <c r="AB80" i="1"/>
  <c r="AB79" i="1"/>
  <c r="AB78" i="1"/>
  <c r="AB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AB44" i="1"/>
  <c r="AB42" i="1"/>
  <c r="AB41" i="1"/>
  <c r="AB40" i="1"/>
  <c r="AB39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B7" i="1"/>
  <c r="AB6" i="1"/>
  <c r="AB5" i="1"/>
  <c r="AB4" i="1"/>
  <c r="AD38" i="1" l="1"/>
  <c r="AF38" i="1" s="1"/>
  <c r="AD43" i="1"/>
  <c r="AD3" i="1"/>
  <c r="AD2" i="1"/>
  <c r="AD108" i="1"/>
  <c r="AD107" i="1"/>
  <c r="AD106" i="1"/>
  <c r="AD105" i="1"/>
  <c r="AD104" i="1"/>
  <c r="AD103" i="1"/>
  <c r="AD102" i="1"/>
  <c r="AD101" i="1"/>
  <c r="AD100" i="1"/>
  <c r="AD99" i="1"/>
  <c r="AD98" i="1"/>
  <c r="AD97" i="1"/>
  <c r="AD96" i="1"/>
  <c r="AD95" i="1"/>
  <c r="AD94" i="1"/>
  <c r="AD93" i="1"/>
  <c r="AD92" i="1"/>
  <c r="AD91" i="1"/>
  <c r="AF90" i="1"/>
  <c r="AD89" i="1"/>
  <c r="AD88" i="1"/>
  <c r="AD87" i="1"/>
  <c r="AD86" i="1"/>
  <c r="AD85" i="1"/>
  <c r="AD84" i="1"/>
  <c r="AD83" i="1"/>
  <c r="AD82" i="1"/>
  <c r="AD81" i="1"/>
  <c r="AD80" i="1"/>
  <c r="AD79" i="1"/>
  <c r="AD78" i="1"/>
  <c r="AD77" i="1"/>
  <c r="AD76" i="1"/>
  <c r="AD75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D44" i="1"/>
  <c r="AD42" i="1"/>
  <c r="AD41" i="1"/>
  <c r="AD40" i="1"/>
  <c r="AD39" i="1"/>
  <c r="AD37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AD5" i="1"/>
  <c r="AD4" i="1"/>
  <c r="AF43" i="1" l="1"/>
  <c r="AF3" i="1"/>
  <c r="AF2" i="1"/>
  <c r="AF108" i="1"/>
  <c r="AF107" i="1"/>
  <c r="AF106" i="1"/>
  <c r="AF105" i="1"/>
  <c r="AF104" i="1"/>
  <c r="AF103" i="1"/>
  <c r="AF102" i="1"/>
  <c r="AF101" i="1"/>
  <c r="AF100" i="1"/>
  <c r="AF99" i="1"/>
  <c r="AF98" i="1"/>
  <c r="AF97" i="1"/>
  <c r="AF96" i="1"/>
  <c r="AF95" i="1"/>
  <c r="AF94" i="1"/>
  <c r="AF93" i="1"/>
  <c r="AF92" i="1"/>
  <c r="AF91" i="1"/>
  <c r="AF89" i="1"/>
  <c r="AF88" i="1"/>
  <c r="AF87" i="1"/>
  <c r="AF86" i="1"/>
  <c r="AF85" i="1"/>
  <c r="AF84" i="1"/>
  <c r="AF83" i="1"/>
  <c r="AF82" i="1"/>
  <c r="AF81" i="1"/>
  <c r="AF80" i="1"/>
  <c r="AF79" i="1"/>
  <c r="AF78" i="1"/>
  <c r="AF77" i="1"/>
  <c r="AF76" i="1"/>
  <c r="AF75" i="1"/>
  <c r="AF74" i="1"/>
  <c r="AF73" i="1"/>
  <c r="AF72" i="1"/>
  <c r="AF71" i="1"/>
  <c r="AF70" i="1"/>
  <c r="AF69" i="1"/>
  <c r="AF68" i="1"/>
  <c r="AF67" i="1"/>
  <c r="AF66" i="1"/>
  <c r="AF65" i="1"/>
  <c r="AF64" i="1"/>
  <c r="AF63" i="1"/>
  <c r="AF62" i="1"/>
  <c r="AF61" i="1"/>
  <c r="AF60" i="1"/>
  <c r="AF59" i="1"/>
  <c r="AF58" i="1"/>
  <c r="AF57" i="1"/>
  <c r="AF56" i="1"/>
  <c r="AF55" i="1"/>
  <c r="AF54" i="1"/>
  <c r="AF53" i="1"/>
  <c r="AF52" i="1"/>
  <c r="AF51" i="1"/>
  <c r="AF50" i="1"/>
  <c r="AF49" i="1"/>
  <c r="AF48" i="1"/>
  <c r="AF47" i="1"/>
  <c r="AF46" i="1"/>
  <c r="AF45" i="1"/>
  <c r="AF44" i="1"/>
  <c r="AF42" i="1"/>
  <c r="AF41" i="1"/>
  <c r="AF40" i="1"/>
  <c r="AF39" i="1"/>
  <c r="AF37" i="1"/>
  <c r="AF36" i="1"/>
  <c r="AF35" i="1"/>
  <c r="AF34" i="1"/>
  <c r="AF33" i="1"/>
  <c r="AF32" i="1"/>
  <c r="AF31" i="1"/>
  <c r="AF30" i="1"/>
  <c r="AF29" i="1"/>
  <c r="AF28" i="1"/>
  <c r="AF27" i="1"/>
  <c r="AF26" i="1"/>
  <c r="AF25" i="1"/>
  <c r="AF24" i="1"/>
  <c r="AF23" i="1"/>
  <c r="AF22" i="1"/>
  <c r="AF21" i="1"/>
  <c r="AF20" i="1"/>
  <c r="AF19" i="1"/>
  <c r="AF18" i="1"/>
  <c r="AF17" i="1"/>
  <c r="AF16" i="1"/>
  <c r="AF15" i="1"/>
  <c r="AF14" i="1"/>
  <c r="AF13" i="1"/>
  <c r="AF12" i="1"/>
  <c r="AF11" i="1"/>
  <c r="AF10" i="1"/>
  <c r="AF9" i="1"/>
  <c r="AF8" i="1"/>
  <c r="AF7" i="1"/>
  <c r="AF6" i="1"/>
  <c r="AF5" i="1"/>
  <c r="AF4" i="1"/>
</calcChain>
</file>

<file path=xl/sharedStrings.xml><?xml version="1.0" encoding="utf-8"?>
<sst xmlns="http://schemas.openxmlformats.org/spreadsheetml/2006/main" count="298" uniqueCount="269">
  <si>
    <t>Filename</t>
  </si>
  <si>
    <t>Project Name</t>
  </si>
  <si>
    <t>Year</t>
  </si>
  <si>
    <t>Total Revenue</t>
  </si>
  <si>
    <t>Total COGS</t>
  </si>
  <si>
    <t>Gross Profit</t>
  </si>
  <si>
    <t>Total Expenses</t>
  </si>
  <si>
    <t>Net Operating Profit</t>
  </si>
  <si>
    <t>Total Other Expenses</t>
  </si>
  <si>
    <t>Sales Revenue</t>
  </si>
  <si>
    <t>Other Revenue</t>
  </si>
  <si>
    <t>Sales Discounts</t>
  </si>
  <si>
    <t>Sales Returns</t>
  </si>
  <si>
    <t>Cost of raw materials</t>
  </si>
  <si>
    <t>Cost of parts used</t>
  </si>
  <si>
    <t>Direct labor costs</t>
  </si>
  <si>
    <t>Overhead costs</t>
  </si>
  <si>
    <t>Automobile</t>
  </si>
  <si>
    <t>Rented Equipment</t>
  </si>
  <si>
    <t>Insurance</t>
  </si>
  <si>
    <t>Job expenses</t>
  </si>
  <si>
    <t>Legal and Professional Fees</t>
  </si>
  <si>
    <t>Maintenance and Repair</t>
  </si>
  <si>
    <t>Meals</t>
  </si>
  <si>
    <t>Office Expenses</t>
  </si>
  <si>
    <t>Rent or Lease</t>
  </si>
  <si>
    <t>Utilities</t>
  </si>
  <si>
    <t>Vehicle Expenses</t>
  </si>
  <si>
    <t>Miscellaneous Expenses</t>
  </si>
  <si>
    <t>1.15_1.16.2025 Adobe P&amp;L 2025.xlsx</t>
  </si>
  <si>
    <t>.16.2025 Adobe P&amp;L 2025</t>
  </si>
  <si>
    <t>1.16.2025 - COMPLETED - Shrina P - Kesha Events Mosaic PNL.xlsx</t>
  </si>
  <si>
    <t>25 - COMPLETED - Shrina P - Kesha Events Mosaic PNL</t>
  </si>
  <si>
    <t>1.17.2025 - OTHR Agency - PNL COMPLETED.xlsx</t>
  </si>
  <si>
    <t>25 - OTHR Agency - PNL COMPLETED</t>
  </si>
  <si>
    <t>1.20.2025 - Crissy SHAW PNL COMPLETED.xlsx</t>
  </si>
  <si>
    <t>25 - Crissy SHAW PNL COMPLETED</t>
  </si>
  <si>
    <t>1.24.2025 - JHL RBI - PNL Completed.xlsx</t>
  </si>
  <si>
    <t>25 - JHL RBI - PNL Completed</t>
  </si>
  <si>
    <t>1.25.2025 - Cheri M Tavares PNL COMPLETED.xlsx</t>
  </si>
  <si>
    <t>25 - Cheri M Tavares PNL COMPLETED</t>
  </si>
  <si>
    <t>1.26.2025 - Chewy 1 PNL Completed.xlsx</t>
  </si>
  <si>
    <t>25 - Chewy 1 PNL Completed</t>
  </si>
  <si>
    <t>1.26.2025 - Elana G - Gotlib PNL Completed.xlsx</t>
  </si>
  <si>
    <t>25 - Elana G - Gotlib PNL Completed</t>
  </si>
  <si>
    <t>1.27.2025 Chewy P2 - PNL COMPLETED.xlsx</t>
  </si>
  <si>
    <t>25 Chewy P2 - PNL COMPLETED</t>
  </si>
  <si>
    <t>2.1.2025 - AGMU Sanse Drop Off - PNL.xlsx</t>
  </si>
  <si>
    <t>25 - AGMU Sanse Drop Off - PNL</t>
  </si>
  <si>
    <t>2.1.2025 - St. Jude PNL COMPLETED.xlsx</t>
  </si>
  <si>
    <t>25 - St. Jude PNL COMPLETED</t>
  </si>
  <si>
    <t>2.1.2025 Erin C - Roamer + RoamerPro PNL.xlsx</t>
  </si>
  <si>
    <t>25 Erin C - Roamer + RoamerPro PNL</t>
  </si>
  <si>
    <t>2.10.2025 - Audrey EpicEntertainment PNL COMPLETED.xlsx</t>
  </si>
  <si>
    <t>25 - Audrey EpicEntertainment PNL COMPLETED</t>
  </si>
  <si>
    <t>2.11-12.2025 - Liz Daley - Mosaic PNL COMPLETED.xlsx</t>
  </si>
  <si>
    <t>.2025 - Liz Daley - Mosaic PNL COMPLETED</t>
  </si>
  <si>
    <t>2.14.2025 - Mandy L - PNL COMPLETED.xlsx</t>
  </si>
  <si>
    <t>25 - Mandy L - PNL COMPLETED</t>
  </si>
  <si>
    <t>2.18.2025 - Amanda S - Keystone PNL COMPLETED.xlsx</t>
  </si>
  <si>
    <t>25 - Amanda S - Keystone PNL COMPLETED</t>
  </si>
  <si>
    <t>2.2.2025 - Harry G ChargeRigs PNL COMPLETED.xlsx</t>
  </si>
  <si>
    <t>25 - Harry G ChargeRigs PNL COMPLETED</t>
  </si>
  <si>
    <t>2.20.2025 - Bailey H - FifthStreet PNL.xlsx</t>
  </si>
  <si>
    <t>25 - Bailey H - FifthStreet PNL</t>
  </si>
  <si>
    <t>2.23.2025 - Stacy G - PNL COMPLETED.xlsx</t>
  </si>
  <si>
    <t>25 - Stacy G - PNL COMPLETED</t>
  </si>
  <si>
    <t>3.12.2025 AGM PNL COMPLETED.xlsx</t>
  </si>
  <si>
    <t>25 AGM PNL COMPLETED</t>
  </si>
  <si>
    <t>3.15.2025 Emily 2 Booth OFD PNL COMPLETED.xlsx</t>
  </si>
  <si>
    <t>25 Emily 2 Booth OFD PNL COMPLETED</t>
  </si>
  <si>
    <t>3.18.2025 - Alaina J Amazon PNL - IN PROGRESS.xlsx</t>
  </si>
  <si>
    <t>25 - Alaina J Amazon PNL - IN PROGRESS</t>
  </si>
  <si>
    <t>3.21.2025 - Alissa S - PNL _IN PROGRESS_.xlsx</t>
  </si>
  <si>
    <t>25 - Alissa S - PNL _IN PROGRESS_</t>
  </si>
  <si>
    <t>3.28.2025 - HCA PNL _COMPLETED_.xlsx</t>
  </si>
  <si>
    <t>25 - HCA PNL _COMPLETED_</t>
  </si>
  <si>
    <t>3.30.2025 - AGM PNL COMPLETE.xlsx</t>
  </si>
  <si>
    <t>25 - AGM PNL COMPLETE</t>
  </si>
  <si>
    <t>3.4.2025 - Alex G - PNL COMPLETED.xlsx</t>
  </si>
  <si>
    <t>25 - Alex G - PNL COMPLETED</t>
  </si>
  <si>
    <t>4.11.2025 - Pride Prom - PNL COMPLETED.xlsx</t>
  </si>
  <si>
    <t>25 - Pride Prom - PNL COMPLETED</t>
  </si>
  <si>
    <t>4.11.2025 - Pride Prom TITOS - PNL COMPLETED.xlsx</t>
  </si>
  <si>
    <t>25 - Pride Prom TITOS - PNL COMPLETED</t>
  </si>
  <si>
    <t>4.12.2025 - FTC PNL COMPLETED.xlsx</t>
  </si>
  <si>
    <t>25 - FTC PNL COMPLETED</t>
  </si>
  <si>
    <t>4.12.2025 - HCA PNL COMPLETED.xlsx</t>
  </si>
  <si>
    <t>25 - HCA PNL COMPLETED</t>
  </si>
  <si>
    <t>4.24.2025 - TXRestaurant PNL COMPLETED.xlsx</t>
  </si>
  <si>
    <t>25 - TXRestaurant PNL COMPLETED</t>
  </si>
  <si>
    <t>4.25.2025 - Madison Middle School PNL COMPLETED.xlsx</t>
  </si>
  <si>
    <t>25 - Madison Middle School PNL COMPLETED</t>
  </si>
  <si>
    <t>4.26.2025 - JDRF T1D - PNL COMPLETED.xlsx</t>
  </si>
  <si>
    <t>25 - JDRF T1D - PNL COMPLETED</t>
  </si>
  <si>
    <t>4.29-5.4.2025 - CORSO PNL _YOHAN IN PROGRESS__.xlsx</t>
  </si>
  <si>
    <t>.4.2025 - CORSO PNL _YOHAN IN PROGRESS__</t>
  </si>
  <si>
    <t>4.3.2025 - PACE PNL _COMPLETED_.xlsx</t>
  </si>
  <si>
    <t>25 - PACE PNL _COMPLETED_</t>
  </si>
  <si>
    <t>4.4.2025 - Lamplighter PNL COMPLETED.xlsx</t>
  </si>
  <si>
    <t>25 - Lamplighter PNL COMPLETED</t>
  </si>
  <si>
    <t>4.5.2025 - Karsyn L - PNL COMPLETED.xlsx</t>
  </si>
  <si>
    <t>25 - Karsyn L - PNL COMPLETED</t>
  </si>
  <si>
    <t>5.13.2025 - Gabriela P - PNL COMPLETED.xlsx</t>
  </si>
  <si>
    <t>25 - Gabriela P - PNL COMPLETED</t>
  </si>
  <si>
    <t>5.16.2025 Katey Colt PNL COMPLETED.xlsx</t>
  </si>
  <si>
    <t>25 Katey Colt PNL COMPLETED</t>
  </si>
  <si>
    <t>5.16.2025 Krislyn Rojas PNL COMPLETED.xlsx</t>
  </si>
  <si>
    <t>25 Krislyn Rojas PNL COMPLETED</t>
  </si>
  <si>
    <t>5.17.2025 - Melissa W - PNL COMPLETED.xlsx</t>
  </si>
  <si>
    <t>25 - Melissa W - PNL COMPLETED</t>
  </si>
  <si>
    <t>5.27.2025 - Marines A - PNL COMPLETED.xlsx</t>
  </si>
  <si>
    <t>25 - Marines A - PNL COMPLETED</t>
  </si>
  <si>
    <t>5.29.2025 - Caitlin A - Tencue Agency PNL COMPLETED.xlsx</t>
  </si>
  <si>
    <t>25 - Caitlin A - Tencue Agency PNL COMPLETED</t>
  </si>
  <si>
    <t>5.29.2025 - CastleGroup PNL COMPLETED - WL TX.xlsx</t>
  </si>
  <si>
    <t>25 - CastleGroup PNL COMPLETED - WL TX</t>
  </si>
  <si>
    <t>5.29.2025 - Suku PNL COMPLETED.xlsx</t>
  </si>
  <si>
    <t>25 - Suku PNL COMPLETED</t>
  </si>
  <si>
    <t>5.29.2025 Selina B - PNL COMPLETED.xlsx</t>
  </si>
  <si>
    <t>25 Selina B - PNL COMPLETED</t>
  </si>
  <si>
    <t>5.3.2025 - Allison G PNL COMPLETED.xlsx</t>
  </si>
  <si>
    <t>25 - Allison G PNL COMPLETED</t>
  </si>
  <si>
    <t>5.3.2025 - Kristi N - PNL COMPLETED.xlsx</t>
  </si>
  <si>
    <t>25 - Kristi N - PNL COMPLETED</t>
  </si>
  <si>
    <t>5.5-6.2025 Kalee B - DROP OFF PNL COMPLETED.xlsx</t>
  </si>
  <si>
    <t>.2025 Kalee B - DROP OFF PNL COMPLETED</t>
  </si>
  <si>
    <t>5.8.2025 - Melinda PNL COMPLETED.xlsx</t>
  </si>
  <si>
    <t>25 - Melinda PNL COMPLETED</t>
  </si>
  <si>
    <t>6.13.2025 - Robert Q - PNL COMPLETED.xlsx</t>
  </si>
  <si>
    <t>25 - Robert Q - PNL COMPLETED</t>
  </si>
  <si>
    <t>6.20.2025 - AGM 3booths PNL COMPLETED.xlsx</t>
  </si>
  <si>
    <t>25 - AGM 3booths PNL COMPLETED</t>
  </si>
  <si>
    <t>6.21.2025 - Emily P - One Fine Day - PNL COMPLETED.xlsx</t>
  </si>
  <si>
    <t>25 - Emily P - One Fine Day - PNL COMPLETED</t>
  </si>
  <si>
    <t>6.24.2025 - Joseph S Green Screen PNL COMPLETED.xlsx</t>
  </si>
  <si>
    <t>25 - Joseph S Green Screen PNL COMPLETED</t>
  </si>
  <si>
    <t>6.8.2025 - OBS Events PNL COMPLETED.xlsx</t>
  </si>
  <si>
    <t>25 - OBS Events PNL COMPLETED</t>
  </si>
  <si>
    <t>7.12.2025 - Rima K - PNL COMPLETED.xlsx</t>
  </si>
  <si>
    <t>25 - Rima K - PNL COMPLETED</t>
  </si>
  <si>
    <t>7.13_16.2025 - FHCA PNL _IN PROGRESS_.xlsx</t>
  </si>
  <si>
    <t>.2025 - FHCA PNL _IN PROGRESS_</t>
  </si>
  <si>
    <t>8.10.2025 Bianca M - Chaturbate - PNL COMPLETED.xlsx</t>
  </si>
  <si>
    <t>25 Bianca M - Chaturbate - PNL COMPLETED</t>
  </si>
  <si>
    <t>8.2.2025 Orlando Weekly Tacos and Tequila - PNL COMPLETED.xlsx</t>
  </si>
  <si>
    <t>25 Orlando Weekly Tacos and Tequila - PNL COMPLETED</t>
  </si>
  <si>
    <t>8.23.2025 - Dustin B - PCA PNL COMPLETED.xlsx</t>
  </si>
  <si>
    <t>25 - Dustin B - PCA PNL COMPLETED</t>
  </si>
  <si>
    <t>8.27.2025 - Christoph Ashford WL - PNL COMPLETED.xlsx</t>
  </si>
  <si>
    <t>25 - Christoph Ashford WL - PNL COMPLETED</t>
  </si>
  <si>
    <t>8.4.2025 - Joy Deloitte PNL COMPLETED.xlsx</t>
  </si>
  <si>
    <t>25 - Joy Deloitte PNL COMPLETED</t>
  </si>
  <si>
    <t>8.6.2025 - Soni Family Practice - Elite Medical Associates PNL COMPLETED .xlsx</t>
  </si>
  <si>
    <t xml:space="preserve">25 - Soni Family Practice - Elite Medical Associates PNL COMPLETED </t>
  </si>
  <si>
    <t>8.7_10.2025 - FetishCon PNL COMPLETED.xlsx</t>
  </si>
  <si>
    <t>.2025 - FetishCon PNL COMPLETED</t>
  </si>
  <si>
    <t>9.17.2025 - Julie HCPS - PNL COMPLETED.xlsx</t>
  </si>
  <si>
    <t>25 - Julie HCPS - PNL COMPLETED</t>
  </si>
  <si>
    <t>9.21.2025 - AGM Zalsa - Ariana O - PNL COMPLETED.xlsx</t>
  </si>
  <si>
    <t>25 - AGM Zalsa - Ariana O - PNL COMPLETED</t>
  </si>
  <si>
    <t>9.4-6.2025 Macy AestheticNext TX - PNL _IN PROGRESS_.xlsx</t>
  </si>
  <si>
    <t>.2025 Macy AestheticNext TX - PNL _IN PROGRESS_</t>
  </si>
  <si>
    <t>9.6.2025 - Sarah L - Drop Off PNL.xlsx</t>
  </si>
  <si>
    <t>25 - Sarah L - Drop Off PNL</t>
  </si>
  <si>
    <t>9.6.2025 - Susie Bray - PNL COMPLETED.xlsx</t>
  </si>
  <si>
    <t>25 - Susie Bray - PNL COMPLETED</t>
  </si>
  <si>
    <t>9.8-11.2025 - Adele Perkins EmotaInizio PNL Completed.xlsx</t>
  </si>
  <si>
    <t>.2025 - Adele Perkins EmotaInizio PNL Completed</t>
  </si>
  <si>
    <t>9.8.2025 - Brett W - FTC_NUC PNL COMPLETED.xlsx</t>
  </si>
  <si>
    <t>25 - Brett W - FTC_NUC PNL COMPLETED</t>
  </si>
  <si>
    <t>10.14.2025 - Leia S - PNL COMPLETED.xlsx</t>
  </si>
  <si>
    <t>25 - Leia S - PNL COMPLETED</t>
  </si>
  <si>
    <t>10.14.2025 PNL COMPLETED - DNA Creative - Light Painting Booth (1).xlsx</t>
  </si>
  <si>
    <t>25 PNL COMPLETED - DNA Creative - Light Painting Booth (1)</t>
  </si>
  <si>
    <t>10.18.2025 - T1D Voctoria W - PNL COMPLETED.xlsx</t>
  </si>
  <si>
    <t>25 - T1D Voctoria W - PNL COMPLETED</t>
  </si>
  <si>
    <t>10.2.2025 - HCA Poinciana PNL COMPLETED.xlsx</t>
  </si>
  <si>
    <t>25 - HCA Poinciana PNL COMPLETED</t>
  </si>
  <si>
    <t>10.25.2025 - Tammy Reedy PNL COMPLETED.xlsx</t>
  </si>
  <si>
    <t>25 - Tammy Reedy PNL COMPLETED</t>
  </si>
  <si>
    <t>10.27.2025 - Bostrom Brady PNL COMPLETED.xlsx</t>
  </si>
  <si>
    <t>25 - Bostrom Brady PNL COMPLETED</t>
  </si>
  <si>
    <t>10.3-4_10.11.2025 - ACL PNL COMPLETED.xlsx</t>
  </si>
  <si>
    <t>_10.11.2025 - ACL PNL COMPLETED</t>
  </si>
  <si>
    <t>10.4.2025 - Cherry M - GOBA PNL COMPLETED.xlsx</t>
  </si>
  <si>
    <t>25 - Cherry M - GOBA PNL COMPLETED</t>
  </si>
  <si>
    <t>10.4.2025 - Kristi N PNL COMPLETED.xlsx</t>
  </si>
  <si>
    <t>25 - Kristi N PNL COMPLETED</t>
  </si>
  <si>
    <t>10.8-10.2025 - COMPLETED PNL Tehra K - Service Titan.xlsx</t>
  </si>
  <si>
    <t>.2025 - COMPLETED PNL Tehra K - Service Titan</t>
  </si>
  <si>
    <t>10.8_10.2025 - Anna Diel - PNL COMPLETED.xlsx</t>
  </si>
  <si>
    <t>.2025 - Anna Diel - PNL COMPLETED</t>
  </si>
  <si>
    <t>10.9_23_30.2025 - Ariana AGM - PNL COMPLETED.xlsx</t>
  </si>
  <si>
    <t>_30.2025 - Ariana AGM - PNL COMPLETED</t>
  </si>
  <si>
    <t>11.15.2025 - Orlando BeerFest PNL COMPLETED.xlsx</t>
  </si>
  <si>
    <t>25 - Orlando BeerFest PNL COMPLETED</t>
  </si>
  <si>
    <t>11.15.2025 - Rebecca C - HCA PNL COMPLETED.xlsx</t>
  </si>
  <si>
    <t>25 - Rebecca C - HCA PNL COMPLETED</t>
  </si>
  <si>
    <t>11.28.2025 Cheri Moan - PNL COMPLETED.xlsx</t>
  </si>
  <si>
    <t>25 Cheri Moan - PNL COMPLETED</t>
  </si>
  <si>
    <t>11.8.2025 - COMPLETE - Rebecca Cruz - HCA Poinciana PNL COMPLETED.xlsx</t>
  </si>
  <si>
    <t>25 - COMPLETE - Rebecca Cruz - HCA Poinciana PNL COMPLETED</t>
  </si>
  <si>
    <t>12.12.2025 - Breezin Mosaic PNL COMPLETED.xlsx</t>
  </si>
  <si>
    <t>25 - Breezin Mosaic PNL COMPLETED</t>
  </si>
  <si>
    <t>12.12.2025 - Crystal Miner - Collier PNL COMPLETED.xlsx</t>
  </si>
  <si>
    <t>25 - Crystal Miner - Collier PNL COMPLETED</t>
  </si>
  <si>
    <t>12.12.2025 - Emily P - PNL COMPLETED.xlsx</t>
  </si>
  <si>
    <t>25 - Emily P - PNL COMPLETED</t>
  </si>
  <si>
    <t>12.13.2025 - Ariana AGMU PNL COMPLETED.xlsx</t>
  </si>
  <si>
    <t>25 - Ariana AGMU PNL COMPLETED</t>
  </si>
  <si>
    <t>12.13.2025 - Brett FTC PNL COMPLETED.xlsx</t>
  </si>
  <si>
    <t>25 - Brett FTC PNL COMPLETED</t>
  </si>
  <si>
    <t>12.13.2025 - CastleGroup Pedro - PNL.xlsx</t>
  </si>
  <si>
    <t>25 - CastleGroup Pedro - PNL</t>
  </si>
  <si>
    <t>12.13.2025 - Maya V - PNL COMPLETED.xlsx</t>
  </si>
  <si>
    <t>25 - Maya V - PNL COMPLETED</t>
  </si>
  <si>
    <t>12.13.2025 - Sarasota Art Mueseum PNL COMPLETED.xlsx</t>
  </si>
  <si>
    <t>25 - Sarasota Art Mueseum PNL COMPLETED</t>
  </si>
  <si>
    <t>12.17.2025 - Breezin Fanatics PNL COMPLETED.xlsx</t>
  </si>
  <si>
    <t>25 - Breezin Fanatics PNL COMPLETED</t>
  </si>
  <si>
    <t>12.18.2025 - Annie Shepard PNL COMPLETED.xlsx</t>
  </si>
  <si>
    <t>25 - Annie Shepard PNL COMPLETED</t>
  </si>
  <si>
    <t>12.18.2025 - Audrey Rockafeller - PNL COMPLETED.xlsx</t>
  </si>
  <si>
    <t>25 - Audrey Rockafeller - PNL COMPLETED</t>
  </si>
  <si>
    <t>12.18.2025 - Impact Tampa PNL COMPLETED.xlsx</t>
  </si>
  <si>
    <t>25 - Impact Tampa PNL COMPLETED</t>
  </si>
  <si>
    <t>12.31.2025 - Ashley Rosarios - PNL COMPLETED.xlsx</t>
  </si>
  <si>
    <t>25 - Ashley Rosarios - PNL COMPLETED</t>
  </si>
  <si>
    <t>12.31.2025 - Laura McCray NYE - PNL COMPLETED.xlsx</t>
  </si>
  <si>
    <t>25 - Laura McCray NYE - PNL COMPLETED</t>
  </si>
  <si>
    <t>12.4.2025 - COMPLETE - Emily P - OneFineDayInc. 360 PNL.xlsx</t>
  </si>
  <si>
    <t>25 - COMPLETE - Emily P - OneFineDayInc. 360 PNL</t>
  </si>
  <si>
    <t>12.5-6.2025 - COMPLETE - Edward C - Emota.Inizio CurvePro 2Days PNL.xlsx</t>
  </si>
  <si>
    <t>.2025 - COMPLETE - Edward C - Emota.Inizio CurvePro 2Days PNL</t>
  </si>
  <si>
    <t>12.6.2025  - COMPLETE - Moara _ Bailey - Sterns Weaver Miller - RoamerPro+AI PNL.xlsx</t>
  </si>
  <si>
    <t>25  - COMPLETE - Moara _ Bailey - Sterns Weaver Miller - RoamerPro+AI PNL</t>
  </si>
  <si>
    <t>12.6.2025 - COMPLETE - Verbatim Languages Oscar_Willy Curve + Custom Backdrop PNL.xlsx</t>
  </si>
  <si>
    <t>25 - COMPLETE - Verbatim Languages Oscar_Willy Curve + Custom Backdrop PNL</t>
  </si>
  <si>
    <t>12.7.2025 - COMPLETE - Dana Carl Black Curve PNL.xlsx</t>
  </si>
  <si>
    <t>25 - COMPLETE - Dana Carl Black Curve PNL</t>
  </si>
  <si>
    <t>12.9.2025 - Abigail Hyatt PNL COMPLETED.xlsx</t>
  </si>
  <si>
    <t>25 - Abigail Hyatt PNL COMPLETED</t>
  </si>
  <si>
    <t>Net Profit/Loss</t>
  </si>
  <si>
    <t>Sum of Total Revenue</t>
  </si>
  <si>
    <t>Sum of Total Expenses</t>
  </si>
  <si>
    <t>Sum of Net Profit/Loss</t>
  </si>
  <si>
    <t>Sum of Total COGS</t>
  </si>
  <si>
    <t>Sum of Gross Profit</t>
  </si>
  <si>
    <t>Sum of Net Operating Profit</t>
  </si>
  <si>
    <t>Sum of Total Other Expenses</t>
  </si>
  <si>
    <t>Row Labels</t>
  </si>
  <si>
    <t>Grand Total</t>
  </si>
  <si>
    <t>2</t>
  </si>
  <si>
    <t>1</t>
  </si>
  <si>
    <t>Month (dd)</t>
  </si>
  <si>
    <t>Month (MMMM)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</si>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</sst>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Poppins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0" fontId="0" fillId="3" borderId="0" xfId="0" applyFill="1"/>
    <xf numFmtId="0" fontId="0" fillId="3" borderId="0" xfId="0" applyFont="1" applyFill="1"/>
    <xf numFmtId="0" fontId="1" fillId="4" borderId="0" xfId="0" applyFont="1" applyFill="1"/>
    <xf numFmtId="0" fontId="0" fillId="4" borderId="0" xfId="0" applyFill="1"/>
    <xf numFmtId="0" fontId="1" fillId="5" borderId="0" xfId="0" applyFont="1" applyFill="1"/>
    <xf numFmtId="0" fontId="0" fillId="5" borderId="0" xfId="0" applyFill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49" fontId="0" fillId="0" borderId="0" xfId="0" applyNumberFormat="1"/>
    <xf numFmtId="0" fontId="2" fillId="0" borderId="0" xfId="0" pivotButton="1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center"/>
    </xf>
  </cellXfs>
  <cellStyles count="1">
    <cellStyle name="Normal" xfId="0" builtinId="0"/>
  </cellStyles>
  <dxfs count="104">
    <dxf>
      <alignment horizontal="center"/>
    </dxf>
    <dxf>
      <alignment horizontal="center"/>
    </dxf>
    <dxf>
      <alignment horizontal="center"/>
    </dxf>
    <dxf>
      <numFmt numFmtId="164" formatCode="[$$-409]#,##0"/>
    </dxf>
    <dxf>
      <numFmt numFmtId="164" formatCode="[$$-409]#,##0"/>
    </dxf>
    <dxf>
      <numFmt numFmtId="164" formatCode="[$$-409]#,##0"/>
    </dxf>
    <dxf>
      <numFmt numFmtId="164" formatCode="[$$-409]#,##0"/>
    </dxf>
    <dxf>
      <font>
        <name val="Poppins"/>
        <scheme val="none"/>
      </font>
    </dxf>
    <dxf>
      <font>
        <name val="Poppins"/>
        <scheme val="none"/>
      </font>
    </dxf>
    <dxf>
      <font>
        <name val="Poppins"/>
        <scheme val="none"/>
      </font>
    </dxf>
    <dxf>
      <font>
        <name val="Poppins"/>
        <scheme val="none"/>
      </font>
    </dxf>
    <dxf>
      <font>
        <name val="Poppins"/>
        <scheme val="none"/>
      </font>
    </dxf>
    <dxf>
      <font>
        <name val="Poppins"/>
        <scheme val="none"/>
      </font>
    </dxf>
    <dxf>
      <alignment horizontal="center"/>
    </dxf>
    <dxf>
      <alignment horizontal="center"/>
    </dxf>
    <dxf>
      <alignment horizontal="center"/>
    </dxf>
    <dxf>
      <numFmt numFmtId="164" formatCode="[$$-409]#,##0"/>
    </dxf>
    <dxf>
      <numFmt numFmtId="164" formatCode="[$$-409]#,##0"/>
    </dxf>
    <dxf>
      <numFmt numFmtId="164" formatCode="[$$-409]#,##0"/>
    </dxf>
    <dxf>
      <numFmt numFmtId="164" formatCode="[$$-409]#,##0"/>
    </dxf>
    <dxf>
      <font>
        <name val="Poppins"/>
        <scheme val="none"/>
      </font>
    </dxf>
    <dxf>
      <font>
        <name val="Poppins"/>
        <scheme val="none"/>
      </font>
    </dxf>
    <dxf>
      <font>
        <name val="Poppins"/>
        <scheme val="none"/>
      </font>
    </dxf>
    <dxf>
      <font>
        <name val="Poppins"/>
        <scheme val="none"/>
      </font>
    </dxf>
    <dxf>
      <font>
        <name val="Poppins"/>
        <scheme val="none"/>
      </font>
    </dxf>
    <dxf>
      <font>
        <name val="Poppins"/>
        <scheme val="none"/>
      </font>
    </dxf>
    <dxf>
      <font>
        <name val="Poppins"/>
        <scheme val="none"/>
      </font>
    </dxf>
    <dxf>
      <font>
        <name val="Poppins"/>
        <scheme val="none"/>
      </font>
    </dxf>
    <dxf>
      <font>
        <name val="Poppins"/>
        <scheme val="none"/>
      </font>
    </dxf>
    <dxf>
      <font>
        <name val="Poppins"/>
        <scheme val="none"/>
      </font>
    </dxf>
    <dxf>
      <font>
        <name val="Poppins"/>
        <scheme val="none"/>
      </font>
    </dxf>
    <dxf>
      <font>
        <name val="Poppins"/>
        <scheme val="none"/>
      </font>
    </dxf>
    <dxf>
      <font>
        <name val="Poppins"/>
        <scheme val="none"/>
      </font>
    </dxf>
    <dxf>
      <font>
        <name val="Poppins"/>
        <scheme val="none"/>
      </font>
    </dxf>
    <dxf>
      <font>
        <name val="Poppins"/>
        <scheme val="none"/>
      </font>
    </dxf>
    <dxf>
      <font>
        <name val="Poppins"/>
        <scheme val="none"/>
      </font>
    </dxf>
    <dxf>
      <font>
        <name val="Poppins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[$$-409]#,##0"/>
    </dxf>
    <dxf>
      <numFmt numFmtId="164" formatCode="[$$-409]#,##0"/>
    </dxf>
    <dxf>
      <numFmt numFmtId="164" formatCode="[$$-409]#,##0"/>
    </dxf>
    <dxf>
      <numFmt numFmtId="164" formatCode="[$$-409]#,##0"/>
    </dxf>
    <dxf>
      <alignment horizontal="center"/>
    </dxf>
    <dxf>
      <alignment horizontal="center"/>
    </dxf>
    <dxf>
      <alignment horizontal="center"/>
    </dxf>
    <dxf>
      <numFmt numFmtId="164" formatCode="[$$-409]#,##0"/>
    </dxf>
    <dxf>
      <numFmt numFmtId="164" formatCode="[$$-409]#,##0"/>
    </dxf>
    <dxf>
      <numFmt numFmtId="164" formatCode="[$$-409]#,##0"/>
    </dxf>
    <dxf>
      <numFmt numFmtId="164" formatCode="[$$-409]#,##0"/>
    </dxf>
    <dxf>
      <alignment horizontal="center"/>
    </dxf>
    <dxf>
      <alignment horizontal="center"/>
    </dxf>
    <dxf>
      <alignment horizontal="center"/>
    </dxf>
    <dxf>
      <numFmt numFmtId="164" formatCode="[$$-409]#,##0"/>
    </dxf>
    <dxf>
      <numFmt numFmtId="164" formatCode="[$$-409]#,##0"/>
    </dxf>
    <dxf>
      <numFmt numFmtId="164" formatCode="[$$-409]#,##0"/>
    </dxf>
    <dxf>
      <numFmt numFmtId="164" formatCode="[$$-409]#,##0"/>
    </dxf>
    <dxf>
      <alignment horizontal="center"/>
    </dxf>
    <dxf>
      <alignment horizontal="center"/>
    </dxf>
    <dxf>
      <alignment horizontal="center"/>
    </dxf>
    <dxf>
      <numFmt numFmtId="164" formatCode="[$$-409]#,##0"/>
    </dxf>
    <dxf>
      <numFmt numFmtId="164" formatCode="[$$-409]#,##0"/>
    </dxf>
    <dxf>
      <numFmt numFmtId="164" formatCode="[$$-409]#,##0"/>
    </dxf>
    <dxf>
      <numFmt numFmtId="164" formatCode="[$$-409]#,##0"/>
    </dxf>
    <dxf>
      <numFmt numFmtId="164" formatCode="[$$-409]#,##0"/>
    </dxf>
    <dxf>
      <alignment horizontal="center"/>
    </dxf>
    <dxf>
      <alignment horizontal="center"/>
    </dxf>
    <dxf>
      <alignment horizontal="center"/>
    </dxf>
    <dxf>
      <numFmt numFmtId="164" formatCode="[$$-409]#,##0"/>
    </dxf>
    <dxf>
      <numFmt numFmtId="164" formatCode="[$$-409]#,##0"/>
    </dxf>
    <dxf>
      <numFmt numFmtId="164" formatCode="[$$-409]#,##0"/>
    </dxf>
    <dxf>
      <numFmt numFmtId="164" formatCode="[$$-409]#,##0"/>
    </dxf>
    <dxf>
      <alignment horizontal="center"/>
    </dxf>
    <dxf>
      <alignment horizontal="center"/>
    </dxf>
    <dxf>
      <alignment horizontal="center"/>
    </dxf>
    <dxf>
      <numFmt numFmtId="164" formatCode="[$$-409]#,##0"/>
    </dxf>
    <dxf>
      <numFmt numFmtId="164" formatCode="[$$-409]#,##0"/>
    </dxf>
    <dxf>
      <numFmt numFmtId="164" formatCode="[$$-409]#,##0"/>
    </dxf>
    <dxf>
      <alignment horizontal="center"/>
    </dxf>
    <dxf>
      <alignment horizontal="center"/>
    </dxf>
    <dxf>
      <alignment horizontal="center"/>
    </dxf>
    <dxf>
      <numFmt numFmtId="164" formatCode="[$$-409]#,##0"/>
    </dxf>
    <dxf>
      <numFmt numFmtId="164" formatCode="[$$-409]#,##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80.687496759259" createdVersion="8" refreshedVersion="8" minRefreshableVersion="3" recordCount="107" xr:uid="{DA0CE806-4929-41FA-B174-3E3EF0F6895A}">
  <cacheSource type="worksheet">
    <worksheetSource ref="A1:AF108" sheet="Data"/>
  </cacheSource>
  <cacheFields count="32">
    <cacheField name="Filename" numFmtId="0">
      <sharedItems/>
    </cacheField>
    <cacheField name="Project Name" numFmtId="0">
      <sharedItems/>
    </cacheField>
    <cacheField name="Month (dd)" numFmtId="49">
      <sharedItems containsMixedTypes="1" containsNumber="1" containsInteger="1" minValue="1" maxValue="12"/>
    </cacheField>
    <cacheField name="Month (MMMM)" numFmtId="0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  <cacheField name="Year" numFmtId="0">
      <sharedItems containsSemiMixedTypes="0" containsString="0" containsNumber="1" containsInteger="1" minValue="2025" maxValue="2025"/>
    </cacheField>
    <cacheField name="Sales Revenue" numFmtId="0">
      <sharedItems containsSemiMixedTypes="0" containsString="0" containsNumber="1" minValue="0" maxValue="49500"/>
    </cacheField>
    <cacheField name="Other Revenue" numFmtId="0">
      <sharedItems containsSemiMixedTypes="0" containsString="0" containsNumber="1" minValue="0" maxValue="1702.93"/>
    </cacheField>
    <cacheField name="Sales Discounts" numFmtId="0">
      <sharedItems containsSemiMixedTypes="0" containsString="0" containsNumber="1" containsInteger="1" minValue="0" maxValue="0"/>
    </cacheField>
    <cacheField name="Sales Returns" numFmtId="0">
      <sharedItems containsSemiMixedTypes="0" containsString="0" containsNumber="1" minValue="-424.5" maxValue="0"/>
    </cacheField>
    <cacheField name="Cost of raw materials" numFmtId="0">
      <sharedItems containsSemiMixedTypes="0" containsString="0" containsNumber="1" minValue="0" maxValue="1341.68"/>
    </cacheField>
    <cacheField name="Cost of parts used" numFmtId="0">
      <sharedItems containsSemiMixedTypes="0" containsString="0" containsNumber="1" containsInteger="1" minValue="0" maxValue="32"/>
    </cacheField>
    <cacheField name="Direct labor costs" numFmtId="0">
      <sharedItems containsSemiMixedTypes="0" containsString="0" containsNumber="1" minValue="12" maxValue="6238"/>
    </cacheField>
    <cacheField name="Overhead costs" numFmtId="0">
      <sharedItems containsSemiMixedTypes="0" containsString="0" containsNumber="1" containsInteger="1" minValue="0" maxValue="12686"/>
    </cacheField>
    <cacheField name="Automobile" numFmtId="0">
      <sharedItems containsSemiMixedTypes="0" containsString="0" containsNumber="1" minValue="0" maxValue="1249.23" count="8">
        <n v="78.23"/>
        <n v="0"/>
        <n v="729.53"/>
        <n v="425.75"/>
        <n v="100"/>
        <n v="1249.23"/>
        <n v="50"/>
        <n v="40"/>
      </sharedItems>
    </cacheField>
    <cacheField name="Rented Equipment" numFmtId="0">
      <sharedItems containsSemiMixedTypes="0" containsString="0" containsNumber="1" containsInteger="1" minValue="0" maxValue="600"/>
    </cacheField>
    <cacheField name="Insurance" numFmtId="0">
      <sharedItems containsSemiMixedTypes="0" containsString="0" containsNumber="1" containsInteger="1" minValue="0" maxValue="0"/>
    </cacheField>
    <cacheField name="Job expenses" numFmtId="0">
      <sharedItems containsSemiMixedTypes="0" containsString="0" containsNumber="1" containsInteger="1" minValue="0" maxValue="295"/>
    </cacheField>
    <cacheField name="Legal and Professional Fees" numFmtId="0">
      <sharedItems containsSemiMixedTypes="0" containsString="0" containsNumber="1" containsInteger="1" minValue="0" maxValue="0"/>
    </cacheField>
    <cacheField name="Maintenance and Repair" numFmtId="0">
      <sharedItems containsSemiMixedTypes="0" containsString="0" containsNumber="1" containsInteger="1" minValue="0" maxValue="0"/>
    </cacheField>
    <cacheField name="Meals" numFmtId="0">
      <sharedItems containsSemiMixedTypes="0" containsString="0" containsNumber="1" minValue="0" maxValue="300"/>
    </cacheField>
    <cacheField name="Office Expenses" numFmtId="0">
      <sharedItems containsSemiMixedTypes="0" containsString="0" containsNumber="1" containsInteger="1" minValue="0" maxValue="0"/>
    </cacheField>
    <cacheField name="Rent or Lease" numFmtId="0">
      <sharedItems containsSemiMixedTypes="0" containsString="0" containsNumber="1" containsInteger="1" minValue="0" maxValue="225"/>
    </cacheField>
    <cacheField name="Utilities" numFmtId="0">
      <sharedItems containsSemiMixedTypes="0" containsString="0" containsNumber="1" containsInteger="1" minValue="0" maxValue="0"/>
    </cacheField>
    <cacheField name="Vehicle Expenses" numFmtId="0">
      <sharedItems containsSemiMixedTypes="0" containsString="0" containsNumber="1" containsInteger="1" minValue="0" maxValue="0"/>
    </cacheField>
    <cacheField name="Miscellaneous Expenses" numFmtId="0">
      <sharedItems containsSemiMixedTypes="0" containsString="0" containsNumber="1" containsInteger="1" minValue="0" maxValue="0"/>
    </cacheField>
    <cacheField name="Total Revenue" numFmtId="0">
      <sharedItems containsSemiMixedTypes="0" containsString="0" containsNumber="1" minValue="0" maxValue="49500"/>
    </cacheField>
    <cacheField name="Total COGS" numFmtId="0">
      <sharedItems containsSemiMixedTypes="0" containsString="0" containsNumber="1" minValue="12" maxValue="18944"/>
    </cacheField>
    <cacheField name="Gross Profit" numFmtId="0">
      <sharedItems containsSemiMixedTypes="0" containsString="0" containsNumber="1" minValue="-357" maxValue="30556"/>
    </cacheField>
    <cacheField name="Total Expenses" numFmtId="0">
      <sharedItems containsSemiMixedTypes="0" containsString="0" containsNumber="1" minValue="0" maxValue="1549.23"/>
    </cacheField>
    <cacheField name="Net Operating Profit" numFmtId="0">
      <sharedItems containsSemiMixedTypes="0" containsString="0" containsNumber="1" minValue="-357" maxValue="29530.25"/>
    </cacheField>
    <cacheField name="Total Other Expenses" numFmtId="0">
      <sharedItems containsSemiMixedTypes="0" containsString="0" containsNumber="1" containsInteger="1" minValue="0" maxValue="0"/>
    </cacheField>
    <cacheField name="Net Profit/Loss" numFmtId="0">
      <sharedItems containsSemiMixedTypes="0" containsString="0" containsNumber="1" minValue="-357" maxValue="29530.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7">
  <r>
    <s v="1.15_1.16.2025 Adobe P&amp;L 2025.xlsx"/>
    <s v=".16.2025 Adobe P&amp;L 2025"/>
    <n v="1"/>
    <x v="0"/>
    <n v="2025"/>
    <n v="2080"/>
    <n v="0"/>
    <n v="0"/>
    <n v="0"/>
    <n v="20"/>
    <n v="5"/>
    <n v="260"/>
    <n v="0"/>
    <x v="0"/>
    <n v="0"/>
    <n v="0"/>
    <n v="0"/>
    <n v="0"/>
    <n v="0"/>
    <n v="0"/>
    <n v="0"/>
    <n v="0"/>
    <n v="0"/>
    <n v="0"/>
    <n v="0"/>
    <n v="2080"/>
    <n v="285"/>
    <n v="1795"/>
    <n v="78.23"/>
    <n v="1716.77"/>
    <n v="0"/>
    <n v="1716.77"/>
  </r>
  <r>
    <s v="1.16.2025 - COMPLETED - Shrina P - Kesha Events Mosaic PNL.xlsx"/>
    <s v="25 - COMPLETED - Shrina P - Kesha Events Mosaic PNL"/>
    <n v="1"/>
    <x v="0"/>
    <n v="2025"/>
    <n v="2470.44"/>
    <n v="0"/>
    <n v="0"/>
    <n v="0"/>
    <n v="155.85"/>
    <n v="20"/>
    <n v="319"/>
    <n v="0"/>
    <x v="1"/>
    <n v="0"/>
    <n v="0"/>
    <n v="0"/>
    <n v="0"/>
    <n v="0"/>
    <n v="0"/>
    <n v="0"/>
    <n v="0"/>
    <n v="0"/>
    <n v="0"/>
    <n v="0"/>
    <n v="2470.44"/>
    <n v="494.85"/>
    <n v="1975.5900000000001"/>
    <n v="0"/>
    <n v="1975.5900000000001"/>
    <n v="0"/>
    <n v="1975.5900000000001"/>
  </r>
  <r>
    <s v="1.17.2025 - OTHR Agency - PNL COMPLETED.xlsx"/>
    <s v="25 - OTHR Agency - PNL COMPLETED"/>
    <n v="1"/>
    <x v="0"/>
    <n v="2025"/>
    <n v="4874.96"/>
    <n v="150"/>
    <n v="0"/>
    <n v="0"/>
    <n v="1341.68"/>
    <n v="5"/>
    <n v="719.27"/>
    <n v="0"/>
    <x v="1"/>
    <n v="0"/>
    <n v="0"/>
    <n v="0"/>
    <n v="0"/>
    <n v="0"/>
    <n v="0"/>
    <n v="0"/>
    <n v="0"/>
    <n v="0"/>
    <n v="0"/>
    <n v="0"/>
    <n v="5024.96"/>
    <n v="2065.9499999999998"/>
    <n v="2959.01"/>
    <n v="0"/>
    <n v="2959.01"/>
    <n v="0"/>
    <n v="2959.01"/>
  </r>
  <r>
    <s v="1.20.2025 - Crissy SHAW PNL COMPLETED.xlsx"/>
    <s v="25 - Crissy SHAW PNL COMPLETED"/>
    <n v="1"/>
    <x v="0"/>
    <n v="2025"/>
    <n v="3625"/>
    <n v="0"/>
    <n v="0"/>
    <n v="0"/>
    <n v="250"/>
    <n v="10"/>
    <n v="112"/>
    <n v="0"/>
    <x v="1"/>
    <n v="0"/>
    <n v="0"/>
    <n v="0"/>
    <n v="0"/>
    <n v="0"/>
    <n v="0"/>
    <n v="0"/>
    <n v="0"/>
    <n v="0"/>
    <n v="0"/>
    <n v="0"/>
    <n v="3625"/>
    <n v="372"/>
    <n v="3253"/>
    <n v="0"/>
    <n v="3253"/>
    <n v="0"/>
    <n v="3253"/>
  </r>
  <r>
    <s v="1.24.2025 - JHL RBI - PNL Completed.xlsx"/>
    <s v="25 - JHL RBI - PNL Completed"/>
    <n v="1"/>
    <x v="0"/>
    <n v="2025"/>
    <n v="674"/>
    <n v="0"/>
    <n v="0"/>
    <n v="0"/>
    <n v="0"/>
    <n v="10"/>
    <n v="207"/>
    <n v="0"/>
    <x v="1"/>
    <n v="0"/>
    <n v="0"/>
    <n v="0"/>
    <n v="0"/>
    <n v="0"/>
    <n v="0"/>
    <n v="0"/>
    <n v="0"/>
    <n v="0"/>
    <n v="0"/>
    <n v="0"/>
    <n v="674"/>
    <n v="217"/>
    <n v="457"/>
    <n v="0"/>
    <n v="457"/>
    <n v="0"/>
    <n v="457"/>
  </r>
  <r>
    <s v="1.25.2025 - Cheri M Tavares PNL COMPLETED.xlsx"/>
    <s v="25 - Cheri M Tavares PNL COMPLETED"/>
    <n v="1"/>
    <x v="0"/>
    <n v="2025"/>
    <n v="699"/>
    <n v="0"/>
    <n v="0"/>
    <n v="0"/>
    <n v="0"/>
    <n v="10"/>
    <n v="137"/>
    <n v="0"/>
    <x v="1"/>
    <n v="0"/>
    <n v="0"/>
    <n v="0"/>
    <n v="0"/>
    <n v="0"/>
    <n v="0"/>
    <n v="0"/>
    <n v="0"/>
    <n v="0"/>
    <n v="0"/>
    <n v="0"/>
    <n v="699"/>
    <n v="147"/>
    <n v="552"/>
    <n v="0"/>
    <n v="552"/>
    <n v="0"/>
    <n v="552"/>
  </r>
  <r>
    <s v="1.26.2025 - Chewy 1 PNL Completed.xlsx"/>
    <s v="25 - Chewy 1 PNL Completed"/>
    <n v="1"/>
    <x v="0"/>
    <n v="2025"/>
    <n v="1648"/>
    <n v="0"/>
    <n v="0"/>
    <n v="0"/>
    <n v="0"/>
    <n v="20"/>
    <n v="125"/>
    <n v="0"/>
    <x v="1"/>
    <n v="0"/>
    <n v="0"/>
    <n v="0"/>
    <n v="0"/>
    <n v="0"/>
    <n v="0"/>
    <n v="0"/>
    <n v="0"/>
    <n v="0"/>
    <n v="0"/>
    <n v="0"/>
    <n v="1648"/>
    <n v="145"/>
    <n v="1503"/>
    <n v="0"/>
    <n v="1503"/>
    <n v="0"/>
    <n v="1503"/>
  </r>
  <r>
    <s v="1.26.2025 - Elana G - Gotlib PNL Completed.xlsx"/>
    <s v="25 - Elana G - Gotlib PNL Completed"/>
    <s v="1"/>
    <x v="0"/>
    <n v="2025"/>
    <n v="559.98"/>
    <n v="0"/>
    <n v="0"/>
    <n v="0"/>
    <n v="0"/>
    <n v="10"/>
    <n v="166"/>
    <n v="0"/>
    <x v="1"/>
    <n v="0"/>
    <n v="0"/>
    <n v="0"/>
    <n v="0"/>
    <n v="0"/>
    <n v="0"/>
    <n v="0"/>
    <n v="0"/>
    <n v="0"/>
    <n v="0"/>
    <n v="0"/>
    <n v="559.98"/>
    <n v="176"/>
    <n v="383.98"/>
    <n v="0"/>
    <n v="383.98"/>
    <n v="0"/>
    <n v="383.98"/>
  </r>
  <r>
    <s v="1.27.2025 Chewy P2 - PNL COMPLETED.xlsx"/>
    <s v="25 Chewy P2 - PNL COMPLETED"/>
    <s v="1"/>
    <x v="0"/>
    <n v="2025"/>
    <n v="865.98"/>
    <n v="0"/>
    <n v="0"/>
    <n v="0"/>
    <n v="0"/>
    <n v="10"/>
    <n v="12"/>
    <n v="0"/>
    <x v="1"/>
    <n v="0"/>
    <n v="0"/>
    <n v="0"/>
    <n v="0"/>
    <n v="0"/>
    <n v="0"/>
    <n v="0"/>
    <n v="0"/>
    <n v="0"/>
    <n v="0"/>
    <n v="0"/>
    <n v="865.98"/>
    <n v="22"/>
    <n v="843.98"/>
    <n v="0"/>
    <n v="843.98"/>
    <n v="0"/>
    <n v="843.98"/>
  </r>
  <r>
    <s v="2.1.2025 - AGMU Sanse Drop Off - PNL.xlsx"/>
    <s v="25 - AGMU Sanse Drop Off - PNL"/>
    <s v="2"/>
    <x v="1"/>
    <n v="2025"/>
    <n v="764.15"/>
    <n v="0"/>
    <n v="0"/>
    <n v="0"/>
    <n v="0"/>
    <n v="10"/>
    <n v="12"/>
    <n v="0"/>
    <x v="1"/>
    <n v="0"/>
    <n v="0"/>
    <n v="0"/>
    <n v="0"/>
    <n v="0"/>
    <n v="0"/>
    <n v="0"/>
    <n v="0"/>
    <n v="0"/>
    <n v="0"/>
    <n v="0"/>
    <n v="764.15"/>
    <n v="22"/>
    <n v="742.15"/>
    <n v="0"/>
    <n v="742.15"/>
    <n v="0"/>
    <n v="742.15"/>
  </r>
  <r>
    <s v="2.1.2025 - St. Jude PNL COMPLETED.xlsx"/>
    <s v="25 - St. Jude PNL COMPLETED"/>
    <n v="2"/>
    <x v="1"/>
    <n v="2025"/>
    <n v="1870"/>
    <n v="0"/>
    <n v="0"/>
    <n v="0"/>
    <n v="0"/>
    <n v="10"/>
    <n v="199"/>
    <n v="0"/>
    <x v="1"/>
    <n v="0"/>
    <n v="0"/>
    <n v="0"/>
    <n v="0"/>
    <n v="0"/>
    <n v="0"/>
    <n v="0"/>
    <n v="0"/>
    <n v="0"/>
    <n v="0"/>
    <n v="0"/>
    <n v="1870"/>
    <n v="209"/>
    <n v="1661"/>
    <n v="0"/>
    <n v="1661"/>
    <n v="0"/>
    <n v="1661"/>
  </r>
  <r>
    <s v="2.1.2025 Erin C - Roamer + RoamerPro PNL.xlsx"/>
    <s v="25 Erin C - Roamer + RoamerPro PNL"/>
    <n v="2"/>
    <x v="1"/>
    <n v="2025"/>
    <n v="1663.2"/>
    <n v="0"/>
    <n v="0"/>
    <n v="0"/>
    <n v="0"/>
    <n v="10"/>
    <n v="166"/>
    <n v="0"/>
    <x v="1"/>
    <n v="0"/>
    <n v="0"/>
    <n v="0"/>
    <n v="0"/>
    <n v="0"/>
    <n v="0"/>
    <n v="0"/>
    <n v="0"/>
    <n v="0"/>
    <n v="0"/>
    <n v="0"/>
    <n v="1663.2"/>
    <n v="176"/>
    <n v="1487.2"/>
    <n v="0"/>
    <n v="1487.2"/>
    <n v="0"/>
    <n v="1487.2"/>
  </r>
  <r>
    <s v="2.10.2025 - Audrey EpicEntertainment PNL COMPLETED.xlsx"/>
    <s v="25 - Audrey EpicEntertainment PNL COMPLETED"/>
    <n v="2"/>
    <x v="1"/>
    <n v="2025"/>
    <n v="849"/>
    <n v="0"/>
    <n v="0"/>
    <n v="0"/>
    <n v="0"/>
    <n v="20"/>
    <n v="212"/>
    <n v="0"/>
    <x v="1"/>
    <n v="0"/>
    <n v="0"/>
    <n v="0"/>
    <n v="0"/>
    <n v="0"/>
    <n v="0"/>
    <n v="0"/>
    <n v="0"/>
    <n v="0"/>
    <n v="0"/>
    <n v="0"/>
    <n v="849"/>
    <n v="232"/>
    <n v="617"/>
    <n v="0"/>
    <n v="617"/>
    <n v="0"/>
    <n v="617"/>
  </r>
  <r>
    <s v="2.11-12.2025 - Liz Daley - Mosaic PNL COMPLETED.xlsx"/>
    <s v=".2025 - Liz Daley - Mosaic PNL COMPLETED"/>
    <n v="2"/>
    <x v="1"/>
    <n v="2025"/>
    <n v="3780"/>
    <n v="0"/>
    <n v="0"/>
    <n v="0"/>
    <n v="214.87"/>
    <n v="20"/>
    <n v="251"/>
    <n v="0"/>
    <x v="1"/>
    <n v="0"/>
    <n v="0"/>
    <n v="0"/>
    <n v="0"/>
    <n v="0"/>
    <n v="0"/>
    <n v="0"/>
    <n v="0"/>
    <n v="0"/>
    <n v="0"/>
    <n v="0"/>
    <n v="3780"/>
    <n v="485.87"/>
    <n v="3294.13"/>
    <n v="0"/>
    <n v="3294.13"/>
    <n v="0"/>
    <n v="3294.13"/>
  </r>
  <r>
    <s v="2.14.2025 - Mandy L - PNL COMPLETED.xlsx"/>
    <s v="25 - Mandy L - PNL COMPLETED"/>
    <n v="2"/>
    <x v="1"/>
    <n v="2025"/>
    <n v="1495"/>
    <n v="0"/>
    <n v="0"/>
    <n v="0"/>
    <n v="0"/>
    <n v="20"/>
    <n v="178"/>
    <n v="0"/>
    <x v="1"/>
    <n v="0"/>
    <n v="0"/>
    <n v="0"/>
    <n v="0"/>
    <n v="0"/>
    <n v="0"/>
    <n v="0"/>
    <n v="0"/>
    <n v="0"/>
    <n v="0"/>
    <n v="0"/>
    <n v="1495"/>
    <n v="198"/>
    <n v="1297"/>
    <n v="0"/>
    <n v="1297"/>
    <n v="0"/>
    <n v="1297"/>
  </r>
  <r>
    <s v="2.18.2025 - Amanda S - Keystone PNL COMPLETED.xlsx"/>
    <s v="25 - Amanda S - Keystone PNL COMPLETED"/>
    <n v="2"/>
    <x v="1"/>
    <n v="2025"/>
    <n v="1395"/>
    <n v="0"/>
    <n v="0"/>
    <n v="0"/>
    <n v="0"/>
    <n v="20"/>
    <n v="151"/>
    <n v="0"/>
    <x v="1"/>
    <n v="0"/>
    <n v="0"/>
    <n v="0"/>
    <n v="0"/>
    <n v="0"/>
    <n v="0"/>
    <n v="0"/>
    <n v="0"/>
    <n v="0"/>
    <n v="0"/>
    <n v="0"/>
    <n v="1395"/>
    <n v="171"/>
    <n v="1224"/>
    <n v="0"/>
    <n v="1224"/>
    <n v="0"/>
    <n v="1224"/>
  </r>
  <r>
    <s v="2.2.2025 - Harry G ChargeRigs PNL COMPLETED.xlsx"/>
    <s v="25 - Harry G ChargeRigs PNL COMPLETED"/>
    <n v="2"/>
    <x v="1"/>
    <n v="2025"/>
    <n v="1100"/>
    <n v="0"/>
    <n v="0"/>
    <n v="0"/>
    <n v="0"/>
    <n v="0"/>
    <n v="150"/>
    <n v="0"/>
    <x v="1"/>
    <n v="0"/>
    <n v="0"/>
    <n v="0"/>
    <n v="0"/>
    <n v="0"/>
    <n v="0"/>
    <n v="0"/>
    <n v="0"/>
    <n v="0"/>
    <n v="0"/>
    <n v="0"/>
    <n v="1100"/>
    <n v="150"/>
    <n v="950"/>
    <n v="0"/>
    <n v="950"/>
    <n v="0"/>
    <n v="950"/>
  </r>
  <r>
    <s v="2.20.2025 - Bailey H - FifthStreet PNL.xlsx"/>
    <s v="25 - Bailey H - FifthStreet PNL"/>
    <n v="2"/>
    <x v="1"/>
    <n v="2025"/>
    <n v="3788.75"/>
    <n v="0"/>
    <n v="0"/>
    <n v="0"/>
    <n v="79.569999999999993"/>
    <n v="20"/>
    <n v="12"/>
    <n v="0"/>
    <x v="1"/>
    <n v="0"/>
    <n v="0"/>
    <n v="0"/>
    <n v="0"/>
    <n v="0"/>
    <n v="0"/>
    <n v="0"/>
    <n v="0"/>
    <n v="0"/>
    <n v="0"/>
    <n v="0"/>
    <n v="3788.75"/>
    <n v="111.57"/>
    <n v="3677.18"/>
    <n v="0"/>
    <n v="3677.18"/>
    <n v="0"/>
    <n v="3677.18"/>
  </r>
  <r>
    <s v="2.23.2025 - Stacy G - PNL COMPLETED.xlsx"/>
    <s v="25 - Stacy G - PNL COMPLETED"/>
    <n v="2"/>
    <x v="1"/>
    <n v="2025"/>
    <n v="699"/>
    <n v="0"/>
    <n v="0"/>
    <n v="0"/>
    <n v="0"/>
    <n v="20"/>
    <n v="137"/>
    <n v="0"/>
    <x v="1"/>
    <n v="0"/>
    <n v="0"/>
    <n v="0"/>
    <n v="0"/>
    <n v="0"/>
    <n v="0"/>
    <n v="0"/>
    <n v="0"/>
    <n v="0"/>
    <n v="0"/>
    <n v="0"/>
    <n v="699"/>
    <n v="157"/>
    <n v="542"/>
    <n v="0"/>
    <n v="542"/>
    <n v="0"/>
    <n v="542"/>
  </r>
  <r>
    <s v="3.12.2025 AGM PNL COMPLETED.xlsx"/>
    <s v="25 AGM PNL COMPLETED"/>
    <n v="3"/>
    <x v="2"/>
    <n v="2025"/>
    <n v="1298"/>
    <n v="0"/>
    <n v="0"/>
    <n v="0"/>
    <n v="0"/>
    <n v="20"/>
    <n v="151"/>
    <n v="0"/>
    <x v="1"/>
    <n v="0"/>
    <n v="0"/>
    <n v="0"/>
    <n v="0"/>
    <n v="0"/>
    <n v="0"/>
    <n v="0"/>
    <n v="0"/>
    <n v="0"/>
    <n v="0"/>
    <n v="0"/>
    <n v="1298"/>
    <n v="171"/>
    <n v="1127"/>
    <n v="0"/>
    <n v="1127"/>
    <n v="0"/>
    <n v="1127"/>
  </r>
  <r>
    <s v="3.15.2025 Emily 2 Booth OFD PNL COMPLETED.xlsx"/>
    <s v="25 Emily 2 Booth OFD PNL COMPLETED"/>
    <n v="3"/>
    <x v="2"/>
    <n v="2025"/>
    <n v="2608.1999999999998"/>
    <n v="0"/>
    <n v="0"/>
    <n v="0"/>
    <n v="0"/>
    <n v="20"/>
    <n v="401"/>
    <n v="0"/>
    <x v="1"/>
    <n v="0"/>
    <n v="0"/>
    <n v="0"/>
    <n v="0"/>
    <n v="0"/>
    <n v="0"/>
    <n v="0"/>
    <n v="0"/>
    <n v="0"/>
    <n v="0"/>
    <n v="0"/>
    <n v="2608.1999999999998"/>
    <n v="421"/>
    <n v="2187.1999999999998"/>
    <n v="0"/>
    <n v="2187.1999999999998"/>
    <n v="0"/>
    <n v="2187.1999999999998"/>
  </r>
  <r>
    <s v="3.18.2025 - Alaina J Amazon PNL - IN PROGRESS.xlsx"/>
    <s v="25 - Alaina J Amazon PNL - IN PROGRESS"/>
    <n v="3"/>
    <x v="2"/>
    <n v="2025"/>
    <n v="2499"/>
    <n v="0"/>
    <n v="0"/>
    <n v="0"/>
    <n v="0"/>
    <n v="20"/>
    <n v="12"/>
    <n v="0"/>
    <x v="2"/>
    <n v="0"/>
    <n v="0"/>
    <n v="0"/>
    <n v="0"/>
    <n v="0"/>
    <n v="48.75"/>
    <n v="0"/>
    <n v="225"/>
    <n v="0"/>
    <n v="0"/>
    <n v="0"/>
    <n v="2499"/>
    <n v="32"/>
    <n v="2467"/>
    <n v="1003.28"/>
    <n v="1463.72"/>
    <n v="0"/>
    <n v="1463.72"/>
  </r>
  <r>
    <s v="3.21.2025 - Alissa S - PNL _IN PROGRESS_.xlsx"/>
    <s v="25 - Alissa S - PNL _IN PROGRESS_"/>
    <n v="3"/>
    <x v="2"/>
    <n v="2025"/>
    <n v="810.79"/>
    <n v="0"/>
    <n v="0"/>
    <n v="0"/>
    <n v="0"/>
    <n v="20"/>
    <n v="462"/>
    <n v="0"/>
    <x v="1"/>
    <n v="0"/>
    <n v="0"/>
    <n v="0"/>
    <n v="0"/>
    <n v="0"/>
    <n v="0"/>
    <n v="0"/>
    <n v="0"/>
    <n v="0"/>
    <n v="0"/>
    <n v="0"/>
    <n v="810.79"/>
    <n v="482"/>
    <n v="328.78999999999996"/>
    <n v="0"/>
    <n v="328.78999999999996"/>
    <n v="0"/>
    <n v="328.78999999999996"/>
  </r>
  <r>
    <s v="3.28.2025 - HCA PNL _COMPLETED_.xlsx"/>
    <s v="25 - HCA PNL _COMPLETED_"/>
    <n v="3"/>
    <x v="2"/>
    <n v="2025"/>
    <n v="763.98"/>
    <n v="0"/>
    <n v="0"/>
    <n v="0"/>
    <n v="0"/>
    <n v="20"/>
    <n v="173"/>
    <n v="0"/>
    <x v="1"/>
    <n v="0"/>
    <n v="0"/>
    <n v="0"/>
    <n v="0"/>
    <n v="0"/>
    <n v="0"/>
    <n v="0"/>
    <n v="0"/>
    <n v="0"/>
    <n v="0"/>
    <n v="0"/>
    <n v="763.98"/>
    <n v="193"/>
    <n v="570.98"/>
    <n v="0"/>
    <n v="570.98"/>
    <n v="0"/>
    <n v="570.98"/>
  </r>
  <r>
    <s v="3.30.2025 - AGM PNL COMPLETE.xlsx"/>
    <s v="25 - AGM PNL COMPLETE"/>
    <n v="3"/>
    <x v="2"/>
    <n v="2025"/>
    <n v="1389.93"/>
    <n v="0"/>
    <n v="0"/>
    <n v="0"/>
    <n v="0"/>
    <n v="20"/>
    <n v="226"/>
    <n v="0"/>
    <x v="1"/>
    <n v="0"/>
    <n v="0"/>
    <n v="0"/>
    <n v="0"/>
    <n v="0"/>
    <n v="0"/>
    <n v="0"/>
    <n v="0"/>
    <n v="0"/>
    <n v="0"/>
    <n v="0"/>
    <n v="1389.93"/>
    <n v="246"/>
    <n v="1143.93"/>
    <n v="0"/>
    <n v="1143.93"/>
    <n v="0"/>
    <n v="1143.93"/>
  </r>
  <r>
    <s v="3.4.2025 - Alex G - PNL COMPLETED.xlsx"/>
    <s v="25 - Alex G - PNL COMPLETED"/>
    <n v="3"/>
    <x v="2"/>
    <n v="2025"/>
    <n v="749"/>
    <n v="0"/>
    <n v="0"/>
    <n v="0"/>
    <n v="0"/>
    <n v="20"/>
    <n v="12"/>
    <n v="0"/>
    <x v="1"/>
    <n v="0"/>
    <n v="0"/>
    <n v="0"/>
    <n v="0"/>
    <n v="0"/>
    <n v="0"/>
    <n v="0"/>
    <n v="0"/>
    <n v="0"/>
    <n v="0"/>
    <n v="0"/>
    <n v="749"/>
    <n v="32"/>
    <n v="717"/>
    <n v="0"/>
    <n v="717"/>
    <n v="0"/>
    <n v="717"/>
  </r>
  <r>
    <s v="4.11.2025 - Pride Prom - PNL COMPLETED.xlsx"/>
    <s v="25 - Pride Prom - PNL COMPLETED"/>
    <n v="4"/>
    <x v="3"/>
    <n v="2025"/>
    <n v="0"/>
    <n v="0"/>
    <n v="0"/>
    <n v="0"/>
    <n v="0"/>
    <n v="20"/>
    <n v="217"/>
    <n v="0"/>
    <x v="1"/>
    <n v="0"/>
    <n v="0"/>
    <n v="0"/>
    <n v="0"/>
    <n v="0"/>
    <n v="0"/>
    <n v="0"/>
    <n v="0"/>
    <n v="0"/>
    <n v="0"/>
    <n v="0"/>
    <n v="0"/>
    <n v="237"/>
    <n v="-237"/>
    <n v="0"/>
    <n v="-237"/>
    <n v="0"/>
    <n v="-237"/>
  </r>
  <r>
    <s v="4.11.2025 - Pride Prom TITOS - PNL COMPLETED.xlsx"/>
    <s v="25 - Pride Prom TITOS - PNL COMPLETED"/>
    <n v="4"/>
    <x v="3"/>
    <n v="2025"/>
    <n v="2000"/>
    <n v="0"/>
    <n v="0"/>
    <n v="0"/>
    <n v="0"/>
    <n v="20"/>
    <n v="169"/>
    <n v="0"/>
    <x v="1"/>
    <n v="0"/>
    <n v="0"/>
    <n v="0"/>
    <n v="0"/>
    <n v="0"/>
    <n v="0"/>
    <n v="0"/>
    <n v="0"/>
    <n v="0"/>
    <n v="0"/>
    <n v="0"/>
    <n v="2000"/>
    <n v="189"/>
    <n v="1811"/>
    <n v="0"/>
    <n v="1811"/>
    <n v="0"/>
    <n v="1811"/>
  </r>
  <r>
    <s v="4.12.2025 - FTC PNL COMPLETED.xlsx"/>
    <s v="25 - FTC PNL COMPLETED"/>
    <n v="4"/>
    <x v="3"/>
    <n v="2025"/>
    <n v="899"/>
    <n v="0"/>
    <n v="0"/>
    <n v="0"/>
    <n v="0"/>
    <n v="20"/>
    <n v="405.28"/>
    <n v="0"/>
    <x v="1"/>
    <n v="0"/>
    <n v="0"/>
    <n v="0"/>
    <n v="0"/>
    <n v="0"/>
    <n v="0"/>
    <n v="0"/>
    <n v="0"/>
    <n v="0"/>
    <n v="0"/>
    <n v="0"/>
    <n v="899"/>
    <n v="425.28"/>
    <n v="473.72"/>
    <n v="0"/>
    <n v="473.72"/>
    <n v="0"/>
    <n v="473.72"/>
  </r>
  <r>
    <s v="4.12.2025 - HCA PNL COMPLETED.xlsx"/>
    <s v="25 - HCA PNL COMPLETED"/>
    <n v="4"/>
    <x v="3"/>
    <n v="2025"/>
    <n v="599"/>
    <n v="0"/>
    <n v="0"/>
    <n v="0"/>
    <n v="0"/>
    <n v="20"/>
    <n v="173"/>
    <n v="0"/>
    <x v="1"/>
    <n v="0"/>
    <n v="0"/>
    <n v="0"/>
    <n v="0"/>
    <n v="0"/>
    <n v="0"/>
    <n v="0"/>
    <n v="0"/>
    <n v="0"/>
    <n v="0"/>
    <n v="0"/>
    <n v="599"/>
    <n v="193"/>
    <n v="406"/>
    <n v="0"/>
    <n v="406"/>
    <n v="0"/>
    <n v="406"/>
  </r>
  <r>
    <s v="4.24.2025 - TXRestaurant PNL COMPLETED.xlsx"/>
    <s v="25 - TXRestaurant PNL COMPLETED"/>
    <n v="4"/>
    <x v="3"/>
    <n v="2025"/>
    <n v="827.01"/>
    <n v="0"/>
    <n v="0"/>
    <n v="0"/>
    <n v="0"/>
    <n v="20"/>
    <n v="163"/>
    <n v="0"/>
    <x v="1"/>
    <n v="0"/>
    <n v="0"/>
    <n v="0"/>
    <n v="0"/>
    <n v="0"/>
    <n v="0"/>
    <n v="0"/>
    <n v="0"/>
    <n v="0"/>
    <n v="0"/>
    <n v="0"/>
    <n v="827.01"/>
    <n v="183"/>
    <n v="644.01"/>
    <n v="0"/>
    <n v="644.01"/>
    <n v="0"/>
    <n v="644.01"/>
  </r>
  <r>
    <s v="4.25.2025 - Madison Middle School PNL COMPLETED.xlsx"/>
    <s v="25 - Madison Middle School PNL COMPLETED"/>
    <n v="4"/>
    <x v="3"/>
    <n v="2025"/>
    <n v="559.20000000000005"/>
    <n v="0"/>
    <n v="0"/>
    <n v="0"/>
    <n v="0"/>
    <n v="20"/>
    <n v="151"/>
    <n v="0"/>
    <x v="1"/>
    <n v="0"/>
    <n v="0"/>
    <n v="0"/>
    <n v="0"/>
    <n v="0"/>
    <n v="0"/>
    <n v="0"/>
    <n v="0"/>
    <n v="0"/>
    <n v="0"/>
    <n v="0"/>
    <n v="559.20000000000005"/>
    <n v="171"/>
    <n v="388.20000000000005"/>
    <n v="0"/>
    <n v="388.20000000000005"/>
    <n v="0"/>
    <n v="388.20000000000005"/>
  </r>
  <r>
    <s v="4.26.2025 - JDRF T1D - PNL COMPLETED.xlsx"/>
    <s v="25 - JDRF T1D - PNL COMPLETED"/>
    <n v="4"/>
    <x v="3"/>
    <n v="2025"/>
    <n v="699"/>
    <n v="0"/>
    <n v="0"/>
    <n v="0"/>
    <n v="0"/>
    <n v="20"/>
    <n v="166"/>
    <n v="0"/>
    <x v="1"/>
    <n v="0"/>
    <n v="0"/>
    <n v="0"/>
    <n v="0"/>
    <n v="0"/>
    <n v="0"/>
    <n v="0"/>
    <n v="0"/>
    <n v="0"/>
    <n v="0"/>
    <n v="0"/>
    <n v="699"/>
    <n v="186"/>
    <n v="513"/>
    <n v="0"/>
    <n v="513"/>
    <n v="0"/>
    <n v="513"/>
  </r>
  <r>
    <s v="4.29-5.4.2025 - CORSO PNL _YOHAN IN PROGRESS__.xlsx"/>
    <s v=".4.2025 - CORSO PNL _YOHAN IN PROGRESS__"/>
    <n v="4"/>
    <x v="3"/>
    <n v="2025"/>
    <n v="49500"/>
    <n v="0"/>
    <n v="0"/>
    <n v="0"/>
    <n v="0"/>
    <n v="20"/>
    <n v="6238"/>
    <n v="12686"/>
    <x v="3"/>
    <n v="600"/>
    <n v="0"/>
    <n v="0"/>
    <n v="0"/>
    <n v="0"/>
    <n v="0"/>
    <n v="0"/>
    <n v="0"/>
    <n v="0"/>
    <n v="0"/>
    <n v="0"/>
    <n v="49500"/>
    <n v="18944"/>
    <n v="30556"/>
    <n v="1025.75"/>
    <n v="29530.25"/>
    <n v="0"/>
    <n v="29530.25"/>
  </r>
  <r>
    <s v="4.3.2025 - PACE PNL _COMPLETED_.xlsx"/>
    <s v="25 - PACE PNL _COMPLETED_"/>
    <n v="4"/>
    <x v="3"/>
    <n v="2025"/>
    <n v="500"/>
    <n v="0"/>
    <n v="0"/>
    <n v="0"/>
    <n v="0"/>
    <n v="20"/>
    <n v="168.45"/>
    <n v="0"/>
    <x v="1"/>
    <n v="0"/>
    <n v="0"/>
    <n v="0"/>
    <n v="0"/>
    <n v="0"/>
    <n v="0"/>
    <n v="0"/>
    <n v="0"/>
    <n v="0"/>
    <n v="0"/>
    <n v="0"/>
    <n v="500"/>
    <n v="188.45"/>
    <n v="311.55"/>
    <n v="0"/>
    <n v="311.55"/>
    <n v="0"/>
    <n v="311.55"/>
  </r>
  <r>
    <s v="4.4.2025 - Lamplighter PNL COMPLETED.xlsx"/>
    <s v="25 - Lamplighter PNL COMPLETED"/>
    <n v="4"/>
    <x v="3"/>
    <n v="2025"/>
    <n v="599"/>
    <n v="0"/>
    <n v="0"/>
    <n v="0"/>
    <n v="0"/>
    <n v="20"/>
    <n v="12"/>
    <n v="0"/>
    <x v="1"/>
    <n v="0"/>
    <n v="0"/>
    <n v="0"/>
    <n v="0"/>
    <n v="0"/>
    <n v="0"/>
    <n v="0"/>
    <n v="0"/>
    <n v="0"/>
    <n v="0"/>
    <n v="0"/>
    <n v="599"/>
    <n v="32"/>
    <n v="567"/>
    <n v="0"/>
    <n v="567"/>
    <n v="0"/>
    <n v="567"/>
  </r>
  <r>
    <s v="4.5.2025 - Karsyn L - PNL COMPLETED.xlsx"/>
    <s v="25 - Karsyn L - PNL COMPLETED"/>
    <n v="4"/>
    <x v="3"/>
    <n v="2025"/>
    <n v="759.32"/>
    <n v="0"/>
    <n v="0"/>
    <n v="0"/>
    <n v="0"/>
    <n v="20"/>
    <n v="159"/>
    <n v="0"/>
    <x v="1"/>
    <n v="0"/>
    <n v="0"/>
    <n v="0"/>
    <n v="0"/>
    <n v="0"/>
    <n v="0"/>
    <n v="0"/>
    <n v="0"/>
    <n v="0"/>
    <n v="0"/>
    <n v="0"/>
    <n v="759.32"/>
    <n v="179"/>
    <n v="580.32000000000005"/>
    <n v="0"/>
    <n v="580.32000000000005"/>
    <n v="0"/>
    <n v="580.32000000000005"/>
  </r>
  <r>
    <s v="5.13.2025 - Gabriela P - PNL COMPLETED.xlsx"/>
    <s v="25 - Gabriela P - PNL COMPLETED"/>
    <n v="5"/>
    <x v="4"/>
    <n v="2025"/>
    <n v="255"/>
    <n v="0"/>
    <n v="0"/>
    <n v="0"/>
    <n v="0"/>
    <n v="0"/>
    <n v="12"/>
    <n v="0"/>
    <x v="1"/>
    <n v="0"/>
    <n v="0"/>
    <n v="0"/>
    <n v="0"/>
    <n v="0"/>
    <n v="0"/>
    <n v="0"/>
    <n v="0"/>
    <n v="0"/>
    <n v="0"/>
    <n v="0"/>
    <n v="255"/>
    <n v="12"/>
    <n v="243"/>
    <n v="0"/>
    <n v="243"/>
    <n v="0"/>
    <n v="243"/>
  </r>
  <r>
    <s v="5.16.2025 Katey Colt PNL COMPLETED.xlsx"/>
    <s v="25 Katey Colt PNL COMPLETED"/>
    <n v="5"/>
    <x v="4"/>
    <n v="2025"/>
    <n v="1676.31"/>
    <n v="0"/>
    <n v="0"/>
    <n v="0"/>
    <n v="145.76"/>
    <n v="0"/>
    <n v="12"/>
    <n v="0"/>
    <x v="1"/>
    <n v="0"/>
    <n v="0"/>
    <n v="0"/>
    <n v="0"/>
    <n v="0"/>
    <n v="0"/>
    <n v="0"/>
    <n v="0"/>
    <n v="0"/>
    <n v="0"/>
    <n v="0"/>
    <n v="1676.31"/>
    <n v="157.76"/>
    <n v="1518.55"/>
    <n v="0"/>
    <n v="1518.55"/>
    <n v="0"/>
    <n v="1518.55"/>
  </r>
  <r>
    <s v="5.16.2025 Krislyn Rojas PNL COMPLETED.xlsx"/>
    <s v="25 Krislyn Rojas PNL COMPLETED"/>
    <n v="5"/>
    <x v="4"/>
    <n v="2025"/>
    <n v="1398"/>
    <n v="0"/>
    <n v="0"/>
    <n v="0"/>
    <n v="0"/>
    <n v="0"/>
    <n v="335"/>
    <n v="0"/>
    <x v="1"/>
    <n v="0"/>
    <n v="0"/>
    <n v="0"/>
    <n v="0"/>
    <n v="0"/>
    <n v="0"/>
    <n v="0"/>
    <n v="0"/>
    <n v="0"/>
    <n v="0"/>
    <n v="0"/>
    <n v="1398"/>
    <n v="335"/>
    <n v="1063"/>
    <n v="0"/>
    <n v="1063"/>
    <n v="0"/>
    <n v="1063"/>
  </r>
  <r>
    <s v="5.17.2025 - Melissa W - PNL COMPLETED.xlsx"/>
    <s v="25 - Melissa W - PNL COMPLETED"/>
    <n v="5"/>
    <x v="4"/>
    <n v="2025"/>
    <n v="744.43"/>
    <n v="0"/>
    <n v="0"/>
    <n v="0"/>
    <n v="0"/>
    <n v="0"/>
    <n v="12"/>
    <n v="0"/>
    <x v="1"/>
    <n v="0"/>
    <n v="0"/>
    <n v="0"/>
    <n v="0"/>
    <n v="0"/>
    <n v="0"/>
    <n v="0"/>
    <n v="0"/>
    <n v="0"/>
    <n v="0"/>
    <n v="0"/>
    <n v="744.43"/>
    <n v="12"/>
    <n v="732.43"/>
    <n v="0"/>
    <n v="732.43"/>
    <n v="0"/>
    <n v="732.43"/>
  </r>
  <r>
    <s v="5.27.2025 - Marines A - PNL COMPLETED.xlsx"/>
    <s v="25 - Marines A - PNL COMPLETED"/>
    <n v="5"/>
    <x v="4"/>
    <n v="2025"/>
    <n v="649"/>
    <n v="0"/>
    <n v="0"/>
    <n v="0"/>
    <n v="0"/>
    <n v="0"/>
    <n v="12"/>
    <n v="0"/>
    <x v="1"/>
    <n v="0"/>
    <n v="0"/>
    <n v="0"/>
    <n v="0"/>
    <n v="0"/>
    <n v="0"/>
    <n v="0"/>
    <n v="0"/>
    <n v="0"/>
    <n v="0"/>
    <n v="0"/>
    <n v="649"/>
    <n v="12"/>
    <n v="637"/>
    <n v="0"/>
    <n v="637"/>
    <n v="0"/>
    <n v="637"/>
  </r>
  <r>
    <s v="5.29.2025 - Caitlin A - Tencue Agency PNL COMPLETED.xlsx"/>
    <s v="25 - Caitlin A - Tencue Agency PNL COMPLETED"/>
    <n v="5"/>
    <x v="4"/>
    <n v="2025"/>
    <n v="2854.98"/>
    <n v="0"/>
    <n v="0"/>
    <n v="0"/>
    <n v="0"/>
    <n v="0"/>
    <n v="180"/>
    <n v="0"/>
    <x v="4"/>
    <n v="0"/>
    <n v="0"/>
    <n v="0"/>
    <n v="0"/>
    <n v="0"/>
    <n v="0"/>
    <n v="0"/>
    <n v="0"/>
    <n v="0"/>
    <n v="0"/>
    <n v="0"/>
    <n v="2854.98"/>
    <n v="180"/>
    <n v="2674.98"/>
    <n v="100"/>
    <n v="2574.98"/>
    <n v="0"/>
    <n v="2574.98"/>
  </r>
  <r>
    <s v="5.29.2025 - CastleGroup PNL COMPLETED - WL TX.xlsx"/>
    <s v="25 - CastleGroup PNL COMPLETED - WL TX"/>
    <n v="5"/>
    <x v="4"/>
    <n v="2025"/>
    <n v="749"/>
    <n v="0"/>
    <n v="0"/>
    <n v="0"/>
    <n v="0"/>
    <n v="0"/>
    <n v="412"/>
    <n v="0"/>
    <x v="1"/>
    <n v="0"/>
    <n v="0"/>
    <n v="0"/>
    <n v="0"/>
    <n v="0"/>
    <n v="0"/>
    <n v="0"/>
    <n v="0"/>
    <n v="0"/>
    <n v="0"/>
    <n v="0"/>
    <n v="749"/>
    <n v="412"/>
    <n v="337"/>
    <n v="0"/>
    <n v="337"/>
    <n v="0"/>
    <n v="337"/>
  </r>
  <r>
    <s v="5.29.2025 - Suku PNL COMPLETED.xlsx"/>
    <s v="25 - Suku PNL COMPLETED"/>
    <n v="5"/>
    <x v="4"/>
    <n v="2025"/>
    <n v="977.83"/>
    <n v="0"/>
    <n v="0"/>
    <n v="0"/>
    <n v="0"/>
    <n v="0"/>
    <n v="318.5"/>
    <n v="0"/>
    <x v="1"/>
    <n v="0"/>
    <n v="0"/>
    <n v="0"/>
    <n v="0"/>
    <n v="0"/>
    <n v="0"/>
    <n v="0"/>
    <n v="0"/>
    <n v="0"/>
    <n v="0"/>
    <n v="0"/>
    <n v="977.83"/>
    <n v="318.5"/>
    <n v="659.33"/>
    <n v="0"/>
    <n v="659.33"/>
    <n v="0"/>
    <n v="659.33"/>
  </r>
  <r>
    <s v="5.29.2025 Selina B - PNL COMPLETED.xlsx"/>
    <s v="25 Selina B - PNL COMPLETED"/>
    <n v="5"/>
    <x v="4"/>
    <n v="2025"/>
    <n v="350"/>
    <n v="0"/>
    <n v="0"/>
    <n v="0"/>
    <n v="0"/>
    <n v="0"/>
    <n v="112"/>
    <n v="0"/>
    <x v="1"/>
    <n v="0"/>
    <n v="0"/>
    <n v="0"/>
    <n v="0"/>
    <n v="0"/>
    <n v="0"/>
    <n v="0"/>
    <n v="0"/>
    <n v="0"/>
    <n v="0"/>
    <n v="0"/>
    <n v="350"/>
    <n v="112"/>
    <n v="238"/>
    <n v="0"/>
    <n v="238"/>
    <n v="0"/>
    <n v="238"/>
  </r>
  <r>
    <s v="5.3.2025 - Allison G PNL COMPLETED.xlsx"/>
    <s v="25 - Allison G PNL COMPLETED"/>
    <n v="5"/>
    <x v="4"/>
    <n v="2025"/>
    <n v="849"/>
    <n v="0"/>
    <n v="0"/>
    <n v="-424.5"/>
    <n v="0"/>
    <n v="20"/>
    <n v="151"/>
    <n v="0"/>
    <x v="1"/>
    <n v="0"/>
    <n v="0"/>
    <n v="0"/>
    <n v="0"/>
    <n v="0"/>
    <n v="0"/>
    <n v="0"/>
    <n v="0"/>
    <n v="0"/>
    <n v="0"/>
    <n v="0"/>
    <n v="424.5"/>
    <n v="171"/>
    <n v="253.5"/>
    <n v="0"/>
    <n v="253.5"/>
    <n v="0"/>
    <n v="253.5"/>
  </r>
  <r>
    <s v="5.3.2025 - Kristi N - PNL COMPLETED.xlsx"/>
    <s v="25 - Kristi N - PNL COMPLETED"/>
    <n v="5"/>
    <x v="4"/>
    <n v="2025"/>
    <n v="899"/>
    <n v="0"/>
    <n v="0"/>
    <n v="0"/>
    <n v="0"/>
    <n v="20"/>
    <n v="208"/>
    <n v="0"/>
    <x v="1"/>
    <n v="0"/>
    <n v="0"/>
    <n v="0"/>
    <n v="0"/>
    <n v="0"/>
    <n v="0"/>
    <n v="0"/>
    <n v="0"/>
    <n v="0"/>
    <n v="0"/>
    <n v="0"/>
    <n v="899"/>
    <n v="228"/>
    <n v="671"/>
    <n v="0"/>
    <n v="671"/>
    <n v="0"/>
    <n v="671"/>
  </r>
  <r>
    <s v="5.5-6.2025 Kalee B - DROP OFF PNL COMPLETED.xlsx"/>
    <s v=".2025 Kalee B - DROP OFF PNL COMPLETED"/>
    <n v="5"/>
    <x v="4"/>
    <n v="2025"/>
    <n v="1898"/>
    <n v="0"/>
    <n v="0"/>
    <n v="0"/>
    <n v="0"/>
    <n v="0"/>
    <n v="612"/>
    <n v="0"/>
    <x v="1"/>
    <n v="0"/>
    <n v="0"/>
    <n v="0"/>
    <n v="0"/>
    <n v="0"/>
    <n v="0"/>
    <n v="0"/>
    <n v="0"/>
    <n v="0"/>
    <n v="0"/>
    <n v="0"/>
    <n v="1898"/>
    <n v="612"/>
    <n v="1286"/>
    <n v="0"/>
    <n v="1286"/>
    <n v="0"/>
    <n v="1286"/>
  </r>
  <r>
    <s v="5.8.2025 - Melinda PNL COMPLETED.xlsx"/>
    <s v="25 - Melinda PNL COMPLETED"/>
    <n v="5"/>
    <x v="4"/>
    <n v="2025"/>
    <n v="1898"/>
    <n v="0"/>
    <n v="0"/>
    <n v="0"/>
    <n v="0"/>
    <n v="0"/>
    <n v="1012"/>
    <n v="0"/>
    <x v="1"/>
    <n v="0"/>
    <n v="0"/>
    <n v="0"/>
    <n v="0"/>
    <n v="0"/>
    <n v="0"/>
    <n v="0"/>
    <n v="0"/>
    <n v="0"/>
    <n v="0"/>
    <n v="0"/>
    <n v="1898"/>
    <n v="1012"/>
    <n v="886"/>
    <n v="0"/>
    <n v="886"/>
    <n v="0"/>
    <n v="886"/>
  </r>
  <r>
    <s v="6.13.2025 - Robert Q - PNL COMPLETED.xlsx"/>
    <s v="25 - Robert Q - PNL COMPLETED"/>
    <n v="6"/>
    <x v="5"/>
    <n v="2025"/>
    <n v="699"/>
    <n v="0"/>
    <n v="0"/>
    <n v="0"/>
    <n v="0"/>
    <n v="0"/>
    <n v="166"/>
    <n v="0"/>
    <x v="1"/>
    <n v="0"/>
    <n v="0"/>
    <n v="0"/>
    <n v="0"/>
    <n v="0"/>
    <n v="0"/>
    <n v="0"/>
    <n v="0"/>
    <n v="0"/>
    <n v="0"/>
    <n v="0"/>
    <n v="699"/>
    <n v="166"/>
    <n v="533"/>
    <n v="0"/>
    <n v="533"/>
    <n v="0"/>
    <n v="533"/>
  </r>
  <r>
    <s v="6.20.2025 - AGM 3booths PNL COMPLETED.xlsx"/>
    <s v="25 - AGM 3booths PNL COMPLETED"/>
    <n v="6"/>
    <x v="5"/>
    <n v="2025"/>
    <n v="2157.3000000000002"/>
    <n v="0"/>
    <n v="0"/>
    <n v="0"/>
    <n v="0"/>
    <n v="0"/>
    <n v="652"/>
    <n v="0"/>
    <x v="1"/>
    <n v="0"/>
    <n v="0"/>
    <n v="0"/>
    <n v="0"/>
    <n v="0"/>
    <n v="0"/>
    <n v="0"/>
    <n v="0"/>
    <n v="0"/>
    <n v="0"/>
    <n v="0"/>
    <n v="2157.3000000000002"/>
    <n v="652"/>
    <n v="1505.3000000000002"/>
    <n v="0"/>
    <n v="1505.3000000000002"/>
    <n v="0"/>
    <n v="1505.3000000000002"/>
  </r>
  <r>
    <s v="6.21.2025 - Emily P - One Fine Day - PNL COMPLETED.xlsx"/>
    <s v="25 - Emily P - One Fine Day - PNL COMPLETED"/>
    <n v="6"/>
    <x v="5"/>
    <n v="2025"/>
    <n v="799"/>
    <n v="0"/>
    <n v="0"/>
    <n v="0"/>
    <n v="0"/>
    <n v="0"/>
    <n v="199"/>
    <n v="0"/>
    <x v="1"/>
    <n v="0"/>
    <n v="0"/>
    <n v="0"/>
    <n v="0"/>
    <n v="0"/>
    <n v="0"/>
    <n v="0"/>
    <n v="0"/>
    <n v="0"/>
    <n v="0"/>
    <n v="0"/>
    <n v="799"/>
    <n v="199"/>
    <n v="600"/>
    <n v="0"/>
    <n v="600"/>
    <n v="0"/>
    <n v="600"/>
  </r>
  <r>
    <s v="6.24.2025 - Joseph S Green Screen PNL COMPLETED.xlsx"/>
    <s v="25 - Joseph S Green Screen PNL COMPLETED"/>
    <n v="6"/>
    <x v="5"/>
    <n v="2025"/>
    <n v="2393.17"/>
    <n v="0"/>
    <n v="0"/>
    <n v="0"/>
    <n v="0"/>
    <n v="0"/>
    <n v="176"/>
    <n v="0"/>
    <x v="1"/>
    <n v="0"/>
    <n v="0"/>
    <n v="0"/>
    <n v="0"/>
    <n v="0"/>
    <n v="0"/>
    <n v="0"/>
    <n v="0"/>
    <n v="0"/>
    <n v="0"/>
    <n v="0"/>
    <n v="2393.17"/>
    <n v="176"/>
    <n v="2217.17"/>
    <n v="0"/>
    <n v="2217.17"/>
    <n v="0"/>
    <n v="2217.17"/>
  </r>
  <r>
    <s v="6.8.2025 - OBS Events PNL COMPLETED.xlsx"/>
    <s v="25 - OBS Events PNL COMPLETED"/>
    <n v="6"/>
    <x v="5"/>
    <n v="2025"/>
    <n v="3098"/>
    <n v="0"/>
    <n v="0"/>
    <n v="0"/>
    <n v="801.9"/>
    <n v="0"/>
    <n v="513"/>
    <n v="0"/>
    <x v="1"/>
    <n v="0"/>
    <n v="0"/>
    <n v="0"/>
    <n v="0"/>
    <n v="0"/>
    <n v="0"/>
    <n v="0"/>
    <n v="0"/>
    <n v="0"/>
    <n v="0"/>
    <n v="0"/>
    <n v="3098"/>
    <n v="1314.9"/>
    <n v="1783.1"/>
    <n v="0"/>
    <n v="1783.1"/>
    <n v="0"/>
    <n v="1783.1"/>
  </r>
  <r>
    <s v="7.12.2025 - Rima K - PNL COMPLETED.xlsx"/>
    <s v="25 - Rima K - PNL COMPLETED"/>
    <n v="7"/>
    <x v="6"/>
    <n v="2025"/>
    <n v="499"/>
    <n v="0"/>
    <n v="0"/>
    <n v="0"/>
    <n v="0"/>
    <n v="0"/>
    <n v="112"/>
    <n v="0"/>
    <x v="1"/>
    <n v="0"/>
    <n v="0"/>
    <n v="0"/>
    <n v="0"/>
    <n v="0"/>
    <n v="0"/>
    <n v="0"/>
    <n v="0"/>
    <n v="0"/>
    <n v="0"/>
    <n v="0"/>
    <n v="499"/>
    <n v="112"/>
    <n v="387"/>
    <n v="0"/>
    <n v="387"/>
    <n v="0"/>
    <n v="387"/>
  </r>
  <r>
    <s v="7.13_16.2025 - FHCA PNL _IN PROGRESS_.xlsx"/>
    <s v=".2025 - FHCA PNL _IN PROGRESS_"/>
    <n v="7"/>
    <x v="6"/>
    <n v="2025"/>
    <n v="8670.16"/>
    <n v="0"/>
    <n v="0"/>
    <n v="0"/>
    <n v="300"/>
    <n v="0"/>
    <n v="612"/>
    <n v="220"/>
    <x v="1"/>
    <n v="350"/>
    <n v="0"/>
    <n v="295"/>
    <n v="0"/>
    <n v="0"/>
    <n v="0"/>
    <n v="0"/>
    <n v="0"/>
    <n v="0"/>
    <n v="0"/>
    <n v="0"/>
    <n v="8670.16"/>
    <n v="1132"/>
    <n v="7538.16"/>
    <n v="645"/>
    <n v="6893.16"/>
    <n v="0"/>
    <n v="6893.16"/>
  </r>
  <r>
    <s v="8.10.2025 Bianca M - Chaturbate - PNL COMPLETED.xlsx"/>
    <s v="25 Bianca M - Chaturbate - PNL COMPLETED"/>
    <n v="8"/>
    <x v="7"/>
    <n v="2025"/>
    <n v="1396.42"/>
    <n v="0"/>
    <n v="0"/>
    <n v="0"/>
    <n v="0"/>
    <n v="0"/>
    <n v="218"/>
    <n v="0"/>
    <x v="1"/>
    <n v="0"/>
    <n v="0"/>
    <n v="0"/>
    <n v="0"/>
    <n v="0"/>
    <n v="0"/>
    <n v="0"/>
    <n v="0"/>
    <n v="0"/>
    <n v="0"/>
    <n v="0"/>
    <n v="1396.42"/>
    <n v="218"/>
    <n v="1178.42"/>
    <n v="0"/>
    <n v="1178.42"/>
    <n v="0"/>
    <n v="1178.42"/>
  </r>
  <r>
    <s v="8.2.2025 Orlando Weekly Tacos and Tequila - PNL COMPLETED.xlsx"/>
    <s v="25 Orlando Weekly Tacos and Tequila - PNL COMPLETED"/>
    <n v="8"/>
    <x v="7"/>
    <n v="2025"/>
    <n v="0"/>
    <n v="0"/>
    <n v="0"/>
    <n v="0"/>
    <n v="0"/>
    <n v="0"/>
    <n v="151"/>
    <n v="0"/>
    <x v="1"/>
    <n v="0"/>
    <n v="0"/>
    <n v="0"/>
    <n v="0"/>
    <n v="0"/>
    <n v="0"/>
    <n v="0"/>
    <n v="0"/>
    <n v="0"/>
    <n v="0"/>
    <n v="0"/>
    <n v="0"/>
    <n v="151"/>
    <n v="-151"/>
    <n v="0"/>
    <n v="-151"/>
    <n v="0"/>
    <n v="-151"/>
  </r>
  <r>
    <s v="8.23.2025 - Dustin B - PCA PNL COMPLETED.xlsx"/>
    <s v="25 - Dustin B - PCA PNL COMPLETED"/>
    <n v="8"/>
    <x v="7"/>
    <n v="2025"/>
    <n v="747.93"/>
    <n v="0"/>
    <n v="0"/>
    <n v="0"/>
    <n v="0"/>
    <n v="0"/>
    <n v="157"/>
    <n v="0"/>
    <x v="1"/>
    <n v="0"/>
    <n v="0"/>
    <n v="0"/>
    <n v="0"/>
    <n v="0"/>
    <n v="0"/>
    <n v="0"/>
    <n v="0"/>
    <n v="0"/>
    <n v="0"/>
    <n v="0"/>
    <n v="747.93"/>
    <n v="157"/>
    <n v="590.92999999999995"/>
    <n v="0"/>
    <n v="590.92999999999995"/>
    <n v="0"/>
    <n v="590.92999999999995"/>
  </r>
  <r>
    <s v="8.27.2025 - Christoph Ashford WL - PNL COMPLETED.xlsx"/>
    <s v="25 - Christoph Ashford WL - PNL COMPLETED"/>
    <n v="8"/>
    <x v="7"/>
    <n v="2025"/>
    <n v="2461"/>
    <n v="0"/>
    <n v="0"/>
    <n v="0"/>
    <n v="341.24"/>
    <n v="0"/>
    <n v="662"/>
    <n v="0"/>
    <x v="1"/>
    <n v="0"/>
    <n v="0"/>
    <n v="0"/>
    <n v="0"/>
    <n v="0"/>
    <n v="0"/>
    <n v="0"/>
    <n v="0"/>
    <n v="0"/>
    <n v="0"/>
    <n v="0"/>
    <n v="2461"/>
    <n v="1003.24"/>
    <n v="1457.76"/>
    <n v="0"/>
    <n v="1457.76"/>
    <n v="0"/>
    <n v="1457.76"/>
  </r>
  <r>
    <s v="8.4.2025 - Joy Deloitte PNL COMPLETED.xlsx"/>
    <s v="25 - Joy Deloitte PNL COMPLETED"/>
    <n v="8"/>
    <x v="7"/>
    <n v="2025"/>
    <n v="899"/>
    <n v="0"/>
    <n v="0"/>
    <n v="0"/>
    <n v="0"/>
    <n v="0"/>
    <n v="412"/>
    <n v="0"/>
    <x v="1"/>
    <n v="0"/>
    <n v="0"/>
    <n v="0"/>
    <n v="0"/>
    <n v="0"/>
    <n v="0"/>
    <n v="0"/>
    <n v="0"/>
    <n v="0"/>
    <n v="0"/>
    <n v="0"/>
    <n v="899"/>
    <n v="412"/>
    <n v="487"/>
    <n v="0"/>
    <n v="487"/>
    <n v="0"/>
    <n v="487"/>
  </r>
  <r>
    <s v="8.6.2025 - Soni Family Practice - Elite Medical Associates PNL COMPLETED .xlsx"/>
    <s v="25 - Soni Family Practice - Elite Medical Associates PNL COMPLETED "/>
    <n v="8"/>
    <x v="7"/>
    <n v="2025"/>
    <n v="600"/>
    <n v="0"/>
    <n v="0"/>
    <n v="0"/>
    <n v="0"/>
    <n v="0"/>
    <n v="166"/>
    <n v="0"/>
    <x v="1"/>
    <n v="0"/>
    <n v="0"/>
    <n v="0"/>
    <n v="0"/>
    <n v="0"/>
    <n v="0"/>
    <n v="0"/>
    <n v="0"/>
    <n v="0"/>
    <n v="0"/>
    <n v="0"/>
    <n v="600"/>
    <n v="166"/>
    <n v="434"/>
    <n v="0"/>
    <n v="434"/>
    <n v="0"/>
    <n v="434"/>
  </r>
  <r>
    <s v="8.7_10.2025 - FetishCon PNL COMPLETED.xlsx"/>
    <s v=".2025 - FetishCon PNL COMPLETED"/>
    <n v="8"/>
    <x v="7"/>
    <n v="2025"/>
    <n v="2844"/>
    <n v="0"/>
    <n v="0"/>
    <n v="0"/>
    <n v="0"/>
    <n v="0"/>
    <n v="716"/>
    <n v="0"/>
    <x v="1"/>
    <n v="0"/>
    <n v="0"/>
    <n v="0"/>
    <n v="0"/>
    <n v="0"/>
    <n v="0"/>
    <n v="0"/>
    <n v="0"/>
    <n v="0"/>
    <n v="0"/>
    <n v="0"/>
    <n v="2844"/>
    <n v="716"/>
    <n v="2128"/>
    <n v="0"/>
    <n v="2128"/>
    <n v="0"/>
    <n v="2128"/>
  </r>
  <r>
    <s v="9.17.2025 - Julie HCPS - PNL COMPLETED.xlsx"/>
    <s v="25 - Julie HCPS - PNL COMPLETED"/>
    <n v="9"/>
    <x v="8"/>
    <n v="2025"/>
    <n v="500"/>
    <n v="0"/>
    <n v="0"/>
    <n v="0"/>
    <n v="0"/>
    <n v="0"/>
    <n v="12"/>
    <n v="0"/>
    <x v="1"/>
    <n v="0"/>
    <n v="0"/>
    <n v="0"/>
    <n v="0"/>
    <n v="0"/>
    <n v="0"/>
    <n v="0"/>
    <n v="0"/>
    <n v="0"/>
    <n v="0"/>
    <n v="0"/>
    <n v="500"/>
    <n v="12"/>
    <n v="488"/>
    <n v="0"/>
    <n v="488"/>
    <n v="0"/>
    <n v="488"/>
  </r>
  <r>
    <s v="9.21.2025 - AGM Zalsa - Ariana O - PNL COMPLETED.xlsx"/>
    <s v="25 - AGM Zalsa - Ariana O - PNL COMPLETED"/>
    <n v="9"/>
    <x v="8"/>
    <n v="2025"/>
    <n v="1399"/>
    <n v="0"/>
    <n v="0"/>
    <n v="0"/>
    <n v="0"/>
    <n v="0"/>
    <n v="227"/>
    <n v="0"/>
    <x v="1"/>
    <n v="0"/>
    <n v="0"/>
    <n v="0"/>
    <n v="0"/>
    <n v="0"/>
    <n v="0"/>
    <n v="0"/>
    <n v="0"/>
    <n v="0"/>
    <n v="0"/>
    <n v="0"/>
    <n v="1399"/>
    <n v="227"/>
    <n v="1172"/>
    <n v="0"/>
    <n v="1172"/>
    <n v="0"/>
    <n v="1172"/>
  </r>
  <r>
    <s v="9.4-6.2025 Macy AestheticNext TX - PNL _IN PROGRESS_.xlsx"/>
    <s v=".2025 Macy AestheticNext TX - PNL _IN PROGRESS_"/>
    <n v="9"/>
    <x v="8"/>
    <n v="2025"/>
    <n v="13070.75"/>
    <n v="0"/>
    <n v="0"/>
    <n v="0"/>
    <n v="768.66"/>
    <n v="0"/>
    <n v="590"/>
    <n v="300"/>
    <x v="5"/>
    <n v="0"/>
    <n v="0"/>
    <n v="0"/>
    <n v="0"/>
    <n v="0"/>
    <n v="300"/>
    <n v="0"/>
    <n v="0"/>
    <n v="0"/>
    <n v="0"/>
    <n v="0"/>
    <n v="13070.75"/>
    <n v="1658.6599999999999"/>
    <n v="11412.09"/>
    <n v="1549.23"/>
    <n v="9862.86"/>
    <n v="0"/>
    <n v="9862.86"/>
  </r>
  <r>
    <s v="9.6.2025 - Sarah L - Drop Off PNL.xlsx"/>
    <s v="25 - Sarah L - Drop Off PNL"/>
    <n v="9"/>
    <x v="8"/>
    <n v="2025"/>
    <n v="428.28"/>
    <n v="0"/>
    <n v="0"/>
    <n v="0"/>
    <n v="0"/>
    <n v="0"/>
    <n v="112"/>
    <n v="0"/>
    <x v="1"/>
    <n v="0"/>
    <n v="0"/>
    <n v="0"/>
    <n v="0"/>
    <n v="0"/>
    <n v="0"/>
    <n v="0"/>
    <n v="0"/>
    <n v="0"/>
    <n v="0"/>
    <n v="0"/>
    <n v="428.28"/>
    <n v="112"/>
    <n v="316.27999999999997"/>
    <n v="0"/>
    <n v="316.27999999999997"/>
    <n v="0"/>
    <n v="316.27999999999997"/>
  </r>
  <r>
    <s v="9.6.2025 - Susie Bray - PNL COMPLETED.xlsx"/>
    <s v="25 - Susie Bray - PNL COMPLETED"/>
    <n v="9"/>
    <x v="8"/>
    <n v="2025"/>
    <n v="876.1"/>
    <n v="0"/>
    <n v="0"/>
    <n v="0"/>
    <n v="0"/>
    <n v="0"/>
    <n v="169"/>
    <n v="0"/>
    <x v="1"/>
    <n v="0"/>
    <n v="0"/>
    <n v="0"/>
    <n v="0"/>
    <n v="0"/>
    <n v="0"/>
    <n v="0"/>
    <n v="0"/>
    <n v="0"/>
    <n v="0"/>
    <n v="0"/>
    <n v="876.1"/>
    <n v="169"/>
    <n v="707.1"/>
    <n v="0"/>
    <n v="707.1"/>
    <n v="0"/>
    <n v="707.1"/>
  </r>
  <r>
    <s v="9.8-11.2025 - Adele Perkins EmotaInizio PNL Completed.xlsx"/>
    <s v=".2025 - Adele Perkins EmotaInizio PNL Completed"/>
    <n v="9"/>
    <x v="8"/>
    <n v="2025"/>
    <n v="11235"/>
    <n v="0"/>
    <n v="0"/>
    <n v="0"/>
    <n v="165.85"/>
    <n v="0"/>
    <n v="955.85"/>
    <n v="0"/>
    <x v="1"/>
    <n v="0"/>
    <n v="0"/>
    <n v="0"/>
    <n v="0"/>
    <n v="0"/>
    <n v="0"/>
    <n v="0"/>
    <n v="0"/>
    <n v="0"/>
    <n v="0"/>
    <n v="0"/>
    <n v="11235"/>
    <n v="1121.7"/>
    <n v="10113.299999999999"/>
    <n v="0"/>
    <n v="10113.299999999999"/>
    <n v="0"/>
    <n v="10113.299999999999"/>
  </r>
  <r>
    <s v="9.8.2025 - Brett W - FTC_NUC PNL COMPLETED.xlsx"/>
    <s v="25 - Brett W - FTC_NUC PNL COMPLETED"/>
    <n v="9"/>
    <x v="8"/>
    <n v="2025"/>
    <n v="1628.36"/>
    <n v="1702.93"/>
    <n v="0"/>
    <n v="0"/>
    <n v="762.3"/>
    <n v="0"/>
    <n v="352"/>
    <n v="0"/>
    <x v="1"/>
    <n v="0"/>
    <n v="0"/>
    <n v="0"/>
    <n v="0"/>
    <n v="0"/>
    <n v="0"/>
    <n v="0"/>
    <n v="0"/>
    <n v="0"/>
    <n v="0"/>
    <n v="0"/>
    <n v="3331.29"/>
    <n v="1114.3"/>
    <n v="2216.9899999999998"/>
    <n v="0"/>
    <n v="2216.9899999999998"/>
    <n v="0"/>
    <n v="2216.9899999999998"/>
  </r>
  <r>
    <s v="10.14.2025 - Leia S - PNL COMPLETED.xlsx"/>
    <s v="25 - Leia S - PNL COMPLETED"/>
    <n v="10"/>
    <x v="9"/>
    <n v="2025"/>
    <n v="899"/>
    <n v="0"/>
    <n v="0"/>
    <n v="0"/>
    <n v="0"/>
    <n v="5"/>
    <n v="167"/>
    <n v="0"/>
    <x v="1"/>
    <n v="0"/>
    <n v="0"/>
    <n v="0"/>
    <n v="0"/>
    <n v="0"/>
    <n v="0"/>
    <n v="0"/>
    <n v="0"/>
    <n v="0"/>
    <n v="0"/>
    <n v="0"/>
    <n v="899"/>
    <n v="172"/>
    <n v="727"/>
    <n v="0"/>
    <n v="727"/>
    <n v="0"/>
    <n v="727"/>
  </r>
  <r>
    <s v="10.14.2025 PNL COMPLETED - DNA Creative - Light Painting Booth (1).xlsx"/>
    <s v="25 PNL COMPLETED - DNA Creative - Light Painting Booth (1)"/>
    <n v="10"/>
    <x v="9"/>
    <n v="2025"/>
    <n v="3262.98"/>
    <n v="0"/>
    <n v="0"/>
    <n v="0"/>
    <n v="0"/>
    <n v="5"/>
    <n v="162"/>
    <n v="0"/>
    <x v="1"/>
    <n v="0"/>
    <n v="0"/>
    <n v="0"/>
    <n v="0"/>
    <n v="0"/>
    <n v="0"/>
    <n v="0"/>
    <n v="0"/>
    <n v="0"/>
    <n v="0"/>
    <n v="0"/>
    <n v="3262.98"/>
    <n v="167"/>
    <n v="3095.98"/>
    <n v="0"/>
    <n v="3095.98"/>
    <n v="0"/>
    <n v="3095.98"/>
  </r>
  <r>
    <s v="10.18.2025 - T1D Voctoria W - PNL COMPLETED.xlsx"/>
    <s v="25 - T1D Voctoria W - PNL COMPLETED"/>
    <n v="10"/>
    <x v="9"/>
    <n v="2025"/>
    <n v="849"/>
    <n v="0"/>
    <n v="0"/>
    <n v="0"/>
    <n v="0"/>
    <n v="5"/>
    <n v="201"/>
    <n v="0"/>
    <x v="1"/>
    <n v="0"/>
    <n v="0"/>
    <n v="0"/>
    <n v="0"/>
    <n v="0"/>
    <n v="0"/>
    <n v="0"/>
    <n v="0"/>
    <n v="0"/>
    <n v="0"/>
    <n v="0"/>
    <n v="849"/>
    <n v="206"/>
    <n v="643"/>
    <n v="0"/>
    <n v="643"/>
    <n v="0"/>
    <n v="643"/>
  </r>
  <r>
    <s v="10.2.2025 - HCA Poinciana PNL COMPLETED.xlsx"/>
    <s v="25 - HCA Poinciana PNL COMPLETED"/>
    <n v="10"/>
    <x v="9"/>
    <n v="2025"/>
    <n v="647.92999999999995"/>
    <n v="0"/>
    <n v="0"/>
    <n v="0"/>
    <n v="0"/>
    <n v="0"/>
    <n v="187"/>
    <n v="0"/>
    <x v="1"/>
    <n v="0"/>
    <n v="0"/>
    <n v="0"/>
    <n v="0"/>
    <n v="0"/>
    <n v="0"/>
    <n v="0"/>
    <n v="0"/>
    <n v="0"/>
    <n v="0"/>
    <n v="0"/>
    <n v="647.92999999999995"/>
    <n v="187"/>
    <n v="460.92999999999995"/>
    <n v="0"/>
    <n v="460.92999999999995"/>
    <n v="0"/>
    <n v="460.92999999999995"/>
  </r>
  <r>
    <s v="10.25.2025 - Tammy Reedy PNL COMPLETED.xlsx"/>
    <s v="25 - Tammy Reedy PNL COMPLETED"/>
    <n v="10"/>
    <x v="9"/>
    <n v="2025"/>
    <n v="569"/>
    <n v="0"/>
    <n v="0"/>
    <n v="0"/>
    <n v="0"/>
    <n v="5"/>
    <n v="183"/>
    <n v="0"/>
    <x v="1"/>
    <n v="0"/>
    <n v="0"/>
    <n v="0"/>
    <n v="0"/>
    <n v="0"/>
    <n v="0"/>
    <n v="0"/>
    <n v="0"/>
    <n v="0"/>
    <n v="0"/>
    <n v="0"/>
    <n v="569"/>
    <n v="188"/>
    <n v="381"/>
    <n v="0"/>
    <n v="381"/>
    <n v="0"/>
    <n v="381"/>
  </r>
  <r>
    <s v="10.27.2025 - Bostrom Brady PNL COMPLETED.xlsx"/>
    <s v="25 - Bostrom Brady PNL COMPLETED"/>
    <n v="10"/>
    <x v="9"/>
    <n v="2025"/>
    <n v="797.68"/>
    <n v="0"/>
    <n v="0"/>
    <n v="0"/>
    <n v="0"/>
    <n v="5"/>
    <n v="154"/>
    <n v="0"/>
    <x v="1"/>
    <n v="0"/>
    <n v="0"/>
    <n v="0"/>
    <n v="0"/>
    <n v="0"/>
    <n v="0"/>
    <n v="0"/>
    <n v="0"/>
    <n v="0"/>
    <n v="0"/>
    <n v="0"/>
    <n v="797.68"/>
    <n v="159"/>
    <n v="638.67999999999995"/>
    <n v="0"/>
    <n v="638.67999999999995"/>
    <n v="0"/>
    <n v="638.67999999999995"/>
  </r>
  <r>
    <s v="10.3-4_10.11.2025 - ACL PNL COMPLETED.xlsx"/>
    <s v="_10.11.2025 - ACL PNL COMPLETED"/>
    <n v="10"/>
    <x v="9"/>
    <n v="2025"/>
    <n v="3925"/>
    <n v="0"/>
    <n v="0"/>
    <n v="0"/>
    <n v="0"/>
    <n v="5"/>
    <n v="562.62"/>
    <n v="0"/>
    <x v="6"/>
    <n v="0"/>
    <n v="0"/>
    <n v="50"/>
    <n v="0"/>
    <n v="0"/>
    <n v="0"/>
    <n v="0"/>
    <n v="0"/>
    <n v="0"/>
    <n v="0"/>
    <n v="0"/>
    <n v="3925"/>
    <n v="567.62"/>
    <n v="3357.38"/>
    <n v="100"/>
    <n v="3257.38"/>
    <n v="0"/>
    <n v="3257.38"/>
  </r>
  <r>
    <s v="10.4.2025 - Cherry M - GOBA PNL COMPLETED.xlsx"/>
    <s v="25 - Cherry M - GOBA PNL COMPLETED"/>
    <n v="10"/>
    <x v="9"/>
    <n v="2025"/>
    <n v="1000"/>
    <n v="0"/>
    <n v="0"/>
    <n v="0"/>
    <n v="0"/>
    <n v="5"/>
    <n v="260"/>
    <n v="0"/>
    <x v="1"/>
    <n v="0"/>
    <n v="0"/>
    <n v="0"/>
    <n v="0"/>
    <n v="0"/>
    <n v="0"/>
    <n v="0"/>
    <n v="0"/>
    <n v="0"/>
    <n v="0"/>
    <n v="0"/>
    <n v="1000"/>
    <n v="265"/>
    <n v="735"/>
    <n v="0"/>
    <n v="735"/>
    <n v="0"/>
    <n v="735"/>
  </r>
  <r>
    <s v="10.4.2025 - Kristi N PNL COMPLETED.xlsx"/>
    <s v="25 - Kristi N PNL COMPLETED"/>
    <n v="10"/>
    <x v="9"/>
    <n v="2025"/>
    <n v="971.99"/>
    <n v="0"/>
    <n v="0"/>
    <n v="0"/>
    <n v="0"/>
    <n v="5"/>
    <n v="169"/>
    <n v="0"/>
    <x v="1"/>
    <n v="0"/>
    <n v="0"/>
    <n v="0"/>
    <n v="0"/>
    <n v="0"/>
    <n v="0"/>
    <n v="0"/>
    <n v="0"/>
    <n v="0"/>
    <n v="0"/>
    <n v="0"/>
    <n v="971.99"/>
    <n v="174"/>
    <n v="797.99"/>
    <n v="0"/>
    <n v="797.99"/>
    <n v="0"/>
    <n v="797.99"/>
  </r>
  <r>
    <s v="10.8-10.2025 - COMPLETED PNL Tehra K - Service Titan.xlsx"/>
    <s v=".2025 - COMPLETED PNL Tehra K - Service Titan"/>
    <n v="10"/>
    <x v="9"/>
    <n v="2025"/>
    <n v="5945"/>
    <n v="0"/>
    <n v="0"/>
    <n v="0"/>
    <n v="202"/>
    <n v="5"/>
    <n v="12"/>
    <n v="0"/>
    <x v="4"/>
    <n v="0"/>
    <n v="0"/>
    <n v="0"/>
    <n v="0"/>
    <n v="0"/>
    <n v="0"/>
    <n v="0"/>
    <n v="0"/>
    <n v="0"/>
    <n v="0"/>
    <n v="0"/>
    <n v="5945"/>
    <n v="219"/>
    <n v="5726"/>
    <n v="100"/>
    <n v="5626"/>
    <n v="0"/>
    <n v="5626"/>
  </r>
  <r>
    <s v="10.8_10.2025 - Anna Diel - PNL COMPLETED.xlsx"/>
    <s v=".2025 - Anna Diel - PNL COMPLETED"/>
    <n v="10"/>
    <x v="9"/>
    <n v="2025"/>
    <n v="3414.96"/>
    <n v="0"/>
    <n v="0"/>
    <n v="0"/>
    <n v="0"/>
    <n v="20"/>
    <n v="1042"/>
    <n v="0"/>
    <x v="1"/>
    <n v="0"/>
    <n v="0"/>
    <n v="0"/>
    <n v="0"/>
    <n v="0"/>
    <n v="0"/>
    <n v="0"/>
    <n v="0"/>
    <n v="0"/>
    <n v="0"/>
    <n v="0"/>
    <n v="3414.96"/>
    <n v="1062"/>
    <n v="2352.96"/>
    <n v="0"/>
    <n v="2352.96"/>
    <n v="0"/>
    <n v="2352.96"/>
  </r>
  <r>
    <s v="10.9_23_30.2025 - Ariana AGM - PNL COMPLETED.xlsx"/>
    <s v="_30.2025 - Ariana AGM - PNL COMPLETED"/>
    <n v="10"/>
    <x v="9"/>
    <n v="2025"/>
    <n v="2097"/>
    <n v="0"/>
    <n v="0"/>
    <n v="0"/>
    <n v="0"/>
    <n v="5"/>
    <n v="512"/>
    <n v="0"/>
    <x v="6"/>
    <n v="0"/>
    <n v="0"/>
    <n v="0"/>
    <n v="0"/>
    <n v="0"/>
    <n v="0"/>
    <n v="0"/>
    <n v="0"/>
    <n v="0"/>
    <n v="0"/>
    <n v="0"/>
    <n v="2097"/>
    <n v="517"/>
    <n v="1580"/>
    <n v="50"/>
    <n v="1530"/>
    <n v="0"/>
    <n v="1530"/>
  </r>
  <r>
    <s v="11.15.2025 - Orlando BeerFest PNL COMPLETED.xlsx"/>
    <s v="25 - Orlando BeerFest PNL COMPLETED"/>
    <n v="11"/>
    <x v="10"/>
    <n v="2025"/>
    <n v="0"/>
    <n v="0"/>
    <n v="0"/>
    <n v="0"/>
    <n v="0"/>
    <n v="20"/>
    <n v="337"/>
    <n v="0"/>
    <x v="1"/>
    <n v="0"/>
    <n v="0"/>
    <n v="0"/>
    <n v="0"/>
    <n v="0"/>
    <n v="0"/>
    <n v="0"/>
    <n v="0"/>
    <n v="0"/>
    <n v="0"/>
    <n v="0"/>
    <n v="0"/>
    <n v="357"/>
    <n v="-357"/>
    <n v="0"/>
    <n v="-357"/>
    <n v="0"/>
    <n v="-357"/>
  </r>
  <r>
    <s v="11.15.2025 - Rebecca C - HCA PNL COMPLETED.xlsx"/>
    <s v="25 - Rebecca C - HCA PNL COMPLETED"/>
    <n v="11"/>
    <x v="10"/>
    <n v="2025"/>
    <n v="755.76"/>
    <n v="0"/>
    <n v="0"/>
    <n v="0"/>
    <n v="0"/>
    <n v="20"/>
    <n v="181"/>
    <n v="0"/>
    <x v="1"/>
    <n v="0"/>
    <n v="0"/>
    <n v="0"/>
    <n v="0"/>
    <n v="0"/>
    <n v="0"/>
    <n v="0"/>
    <n v="0"/>
    <n v="0"/>
    <n v="0"/>
    <n v="0"/>
    <n v="755.76"/>
    <n v="201"/>
    <n v="554.76"/>
    <n v="0"/>
    <n v="554.76"/>
    <n v="0"/>
    <n v="554.76"/>
  </r>
  <r>
    <s v="11.28.2025 Cheri Moan - PNL COMPLETED.xlsx"/>
    <s v="25 Cheri Moan - PNL COMPLETED"/>
    <n v="11"/>
    <x v="10"/>
    <n v="2025"/>
    <n v="849"/>
    <n v="0"/>
    <n v="0"/>
    <n v="0"/>
    <n v="0"/>
    <n v="20"/>
    <n v="154"/>
    <n v="0"/>
    <x v="1"/>
    <n v="0"/>
    <n v="0"/>
    <n v="0"/>
    <n v="0"/>
    <n v="0"/>
    <n v="0"/>
    <n v="0"/>
    <n v="0"/>
    <n v="0"/>
    <n v="0"/>
    <n v="0"/>
    <n v="849"/>
    <n v="174"/>
    <n v="675"/>
    <n v="0"/>
    <n v="675"/>
    <n v="0"/>
    <n v="675"/>
  </r>
  <r>
    <s v="11.8.2025 - COMPLETE - Rebecca Cruz - HCA Poinciana PNL COMPLETED.xlsx"/>
    <s v="25 - COMPLETE - Rebecca Cruz - HCA Poinciana PNL COMPLETED"/>
    <n v="11"/>
    <x v="10"/>
    <n v="2025"/>
    <n v="863.88"/>
    <n v="0"/>
    <n v="0"/>
    <n v="0"/>
    <n v="0"/>
    <n v="20"/>
    <n v="171"/>
    <n v="0"/>
    <x v="1"/>
    <n v="0"/>
    <n v="0"/>
    <n v="0"/>
    <n v="0"/>
    <n v="0"/>
    <n v="0"/>
    <n v="0"/>
    <n v="0"/>
    <n v="0"/>
    <n v="0"/>
    <n v="0"/>
    <n v="863.88"/>
    <n v="191"/>
    <n v="672.88"/>
    <n v="0"/>
    <n v="672.88"/>
    <n v="0"/>
    <n v="672.88"/>
  </r>
  <r>
    <s v="12.12.2025 - Breezin Mosaic PNL COMPLETED.xlsx"/>
    <s v="25 - Breezin Mosaic PNL COMPLETED"/>
    <n v="12"/>
    <x v="11"/>
    <n v="2025"/>
    <n v="2400"/>
    <n v="0"/>
    <n v="0"/>
    <n v="0"/>
    <n v="80.63"/>
    <n v="20"/>
    <n v="342.25"/>
    <n v="0"/>
    <x v="1"/>
    <n v="0"/>
    <n v="0"/>
    <n v="0"/>
    <n v="0"/>
    <n v="0"/>
    <n v="0"/>
    <n v="0"/>
    <n v="0"/>
    <n v="0"/>
    <n v="0"/>
    <n v="0"/>
    <n v="2400"/>
    <n v="442.88"/>
    <n v="1957.12"/>
    <n v="0"/>
    <n v="1957.12"/>
    <n v="0"/>
    <n v="1957.12"/>
  </r>
  <r>
    <s v="12.12.2025 - Crystal Miner - Collier PNL COMPLETED.xlsx"/>
    <s v="25 - Crystal Miner - Collier PNL COMPLETED"/>
    <n v="12"/>
    <x v="11"/>
    <n v="2025"/>
    <n v="499"/>
    <n v="0"/>
    <n v="0"/>
    <n v="0"/>
    <n v="0"/>
    <n v="20"/>
    <n v="112"/>
    <n v="0"/>
    <x v="1"/>
    <n v="0"/>
    <n v="0"/>
    <n v="0"/>
    <n v="0"/>
    <n v="0"/>
    <n v="0"/>
    <n v="0"/>
    <n v="0"/>
    <n v="0"/>
    <n v="0"/>
    <n v="0"/>
    <n v="499"/>
    <n v="132"/>
    <n v="367"/>
    <n v="0"/>
    <n v="367"/>
    <n v="0"/>
    <n v="367"/>
  </r>
  <r>
    <s v="12.12.2025 - Emily P - PNL COMPLETED.xlsx"/>
    <s v="25 - Emily P - PNL COMPLETED"/>
    <n v="12"/>
    <x v="11"/>
    <n v="2025"/>
    <n v="1599"/>
    <n v="0"/>
    <n v="0"/>
    <n v="0"/>
    <n v="0"/>
    <n v="20"/>
    <n v="180"/>
    <n v="0"/>
    <x v="1"/>
    <n v="0"/>
    <n v="0"/>
    <n v="0"/>
    <n v="0"/>
    <n v="0"/>
    <n v="0"/>
    <n v="0"/>
    <n v="0"/>
    <n v="0"/>
    <n v="0"/>
    <n v="0"/>
    <n v="1599"/>
    <n v="200"/>
    <n v="1399"/>
    <n v="0"/>
    <n v="1399"/>
    <n v="0"/>
    <n v="1399"/>
  </r>
  <r>
    <s v="12.13.2025 - Ariana AGMU PNL COMPLETED.xlsx"/>
    <s v="25 - Ariana AGMU PNL COMPLETED"/>
    <n v="12"/>
    <x v="11"/>
    <n v="2025"/>
    <n v="599"/>
    <n v="0"/>
    <n v="0"/>
    <n v="0"/>
    <n v="0"/>
    <n v="20"/>
    <n v="112"/>
    <n v="0"/>
    <x v="1"/>
    <n v="0"/>
    <n v="0"/>
    <n v="0"/>
    <n v="0"/>
    <n v="0"/>
    <n v="0"/>
    <n v="0"/>
    <n v="0"/>
    <n v="0"/>
    <n v="0"/>
    <n v="0"/>
    <n v="599"/>
    <n v="132"/>
    <n v="467"/>
    <n v="0"/>
    <n v="467"/>
    <n v="0"/>
    <n v="467"/>
  </r>
  <r>
    <s v="12.13.2025 - Brett FTC PNL COMPLETED.xlsx"/>
    <s v="25 - Brett FTC PNL COMPLETED"/>
    <n v="12"/>
    <x v="11"/>
    <n v="2025"/>
    <n v="699"/>
    <n v="0"/>
    <n v="0"/>
    <n v="0"/>
    <n v="0"/>
    <n v="20"/>
    <n v="187"/>
    <n v="0"/>
    <x v="1"/>
    <n v="0"/>
    <n v="0"/>
    <n v="0"/>
    <n v="0"/>
    <n v="0"/>
    <n v="0"/>
    <n v="0"/>
    <n v="0"/>
    <n v="0"/>
    <n v="0"/>
    <n v="0"/>
    <n v="699"/>
    <n v="207"/>
    <n v="492"/>
    <n v="0"/>
    <n v="492"/>
    <n v="0"/>
    <n v="492"/>
  </r>
  <r>
    <s v="12.13.2025 - CastleGroup Pedro - PNL.xlsx"/>
    <s v="25 - CastleGroup Pedro - PNL"/>
    <n v="12"/>
    <x v="11"/>
    <n v="2025"/>
    <n v="850.93"/>
    <n v="0"/>
    <n v="0"/>
    <n v="0"/>
    <n v="0"/>
    <n v="20"/>
    <n v="112"/>
    <n v="0"/>
    <x v="1"/>
    <n v="0"/>
    <n v="0"/>
    <n v="0"/>
    <n v="0"/>
    <n v="0"/>
    <n v="0"/>
    <n v="0"/>
    <n v="0"/>
    <n v="0"/>
    <n v="0"/>
    <n v="0"/>
    <n v="850.93"/>
    <n v="132"/>
    <n v="718.93"/>
    <n v="0"/>
    <n v="718.93"/>
    <n v="0"/>
    <n v="718.93"/>
  </r>
  <r>
    <s v="12.13.2025 - Maya V - PNL COMPLETED.xlsx"/>
    <s v="25 - Maya V - PNL COMPLETED"/>
    <n v="12"/>
    <x v="11"/>
    <n v="2025"/>
    <n v="599"/>
    <n v="0"/>
    <n v="0"/>
    <n v="0"/>
    <n v="0"/>
    <n v="20"/>
    <n v="173.5"/>
    <n v="0"/>
    <x v="1"/>
    <n v="0"/>
    <n v="0"/>
    <n v="0"/>
    <n v="0"/>
    <n v="0"/>
    <n v="0"/>
    <n v="0"/>
    <n v="0"/>
    <n v="0"/>
    <n v="0"/>
    <n v="0"/>
    <n v="599"/>
    <n v="193.5"/>
    <n v="405.5"/>
    <n v="0"/>
    <n v="405.5"/>
    <n v="0"/>
    <n v="405.5"/>
  </r>
  <r>
    <s v="12.13.2025 - Sarasota Art Mueseum PNL COMPLETED.xlsx"/>
    <s v="25 - Sarasota Art Mueseum PNL COMPLETED"/>
    <n v="12"/>
    <x v="11"/>
    <n v="2025"/>
    <n v="1495"/>
    <n v="0"/>
    <n v="0"/>
    <n v="0"/>
    <n v="0"/>
    <n v="20"/>
    <n v="180"/>
    <n v="0"/>
    <x v="1"/>
    <n v="0"/>
    <n v="0"/>
    <n v="0"/>
    <n v="0"/>
    <n v="0"/>
    <n v="0"/>
    <n v="0"/>
    <n v="0"/>
    <n v="0"/>
    <n v="0"/>
    <n v="0"/>
    <n v="1495"/>
    <n v="200"/>
    <n v="1295"/>
    <n v="0"/>
    <n v="1295"/>
    <n v="0"/>
    <n v="1295"/>
  </r>
  <r>
    <s v="12.17.2025 - Breezin Fanatics PNL COMPLETED.xlsx"/>
    <s v="25 - Breezin Fanatics PNL COMPLETED"/>
    <n v="12"/>
    <x v="11"/>
    <n v="2025"/>
    <n v="899"/>
    <n v="0"/>
    <n v="0"/>
    <n v="0"/>
    <n v="0"/>
    <n v="20"/>
    <n v="159"/>
    <n v="0"/>
    <x v="1"/>
    <n v="0"/>
    <n v="0"/>
    <n v="0"/>
    <n v="0"/>
    <n v="0"/>
    <n v="0"/>
    <n v="0"/>
    <n v="0"/>
    <n v="0"/>
    <n v="0"/>
    <n v="0"/>
    <n v="899"/>
    <n v="179"/>
    <n v="720"/>
    <n v="0"/>
    <n v="720"/>
    <n v="0"/>
    <n v="720"/>
  </r>
  <r>
    <s v="12.18.2025 - Annie Shepard PNL COMPLETED.xlsx"/>
    <s v="25 - Annie Shepard PNL COMPLETED"/>
    <n v="12"/>
    <x v="11"/>
    <n v="2025"/>
    <n v="899"/>
    <n v="0"/>
    <n v="0"/>
    <n v="0"/>
    <n v="0"/>
    <n v="20"/>
    <n v="159"/>
    <n v="0"/>
    <x v="1"/>
    <n v="0"/>
    <n v="0"/>
    <n v="0"/>
    <n v="0"/>
    <n v="0"/>
    <n v="0"/>
    <n v="0"/>
    <n v="0"/>
    <n v="0"/>
    <n v="0"/>
    <n v="0"/>
    <n v="899"/>
    <n v="179"/>
    <n v="720"/>
    <n v="0"/>
    <n v="720"/>
    <n v="0"/>
    <n v="720"/>
  </r>
  <r>
    <s v="12.18.2025 - Audrey Rockafeller - PNL COMPLETED.xlsx"/>
    <s v="25 - Audrey Rockafeller - PNL COMPLETED"/>
    <n v="12"/>
    <x v="11"/>
    <n v="2025"/>
    <n v="1100"/>
    <n v="0"/>
    <n v="0"/>
    <n v="0"/>
    <n v="0"/>
    <n v="20"/>
    <n v="612"/>
    <n v="0"/>
    <x v="1"/>
    <n v="0"/>
    <n v="0"/>
    <n v="0"/>
    <n v="0"/>
    <n v="0"/>
    <n v="0"/>
    <n v="0"/>
    <n v="0"/>
    <n v="0"/>
    <n v="0"/>
    <n v="0"/>
    <n v="1100"/>
    <n v="632"/>
    <n v="468"/>
    <n v="0"/>
    <n v="468"/>
    <n v="0"/>
    <n v="468"/>
  </r>
  <r>
    <s v="12.18.2025 - Impact Tampa PNL COMPLETED.xlsx"/>
    <s v="25 - Impact Tampa PNL COMPLETED"/>
    <n v="12"/>
    <x v="11"/>
    <n v="2025"/>
    <n v="599"/>
    <n v="0"/>
    <n v="0"/>
    <n v="0"/>
    <n v="0"/>
    <n v="20"/>
    <n v="199"/>
    <n v="0"/>
    <x v="1"/>
    <n v="0"/>
    <n v="0"/>
    <n v="0"/>
    <n v="0"/>
    <n v="0"/>
    <n v="0"/>
    <n v="0"/>
    <n v="0"/>
    <n v="0"/>
    <n v="0"/>
    <n v="0"/>
    <n v="599"/>
    <n v="219"/>
    <n v="380"/>
    <n v="0"/>
    <n v="380"/>
    <n v="0"/>
    <n v="380"/>
  </r>
  <r>
    <s v="12.31.2025 - Ashley Rosarios - PNL COMPLETED.xlsx"/>
    <s v="25 - Ashley Rosarios - PNL COMPLETED"/>
    <n v="12"/>
    <x v="11"/>
    <n v="2025"/>
    <n v="1100"/>
    <n v="0"/>
    <n v="0"/>
    <n v="0"/>
    <n v="0"/>
    <n v="20"/>
    <n v="812"/>
    <n v="0"/>
    <x v="1"/>
    <n v="0"/>
    <n v="0"/>
    <n v="0"/>
    <n v="0"/>
    <n v="0"/>
    <n v="0"/>
    <n v="0"/>
    <n v="0"/>
    <n v="0"/>
    <n v="0"/>
    <n v="0"/>
    <n v="1100"/>
    <n v="832"/>
    <n v="268"/>
    <n v="0"/>
    <n v="268"/>
    <n v="0"/>
    <n v="268"/>
  </r>
  <r>
    <s v="12.31.2025 - Laura McCray NYE - PNL COMPLETED.xlsx"/>
    <s v="25 - Laura McCray NYE - PNL COMPLETED"/>
    <n v="12"/>
    <x v="11"/>
    <n v="2025"/>
    <n v="1630.98"/>
    <n v="0"/>
    <n v="0"/>
    <n v="0"/>
    <n v="0"/>
    <n v="20"/>
    <n v="213"/>
    <n v="0"/>
    <x v="1"/>
    <n v="0"/>
    <n v="0"/>
    <n v="0"/>
    <n v="0"/>
    <n v="0"/>
    <n v="0"/>
    <n v="0"/>
    <n v="0"/>
    <n v="0"/>
    <n v="0"/>
    <n v="0"/>
    <n v="1630.98"/>
    <n v="233"/>
    <n v="1397.98"/>
    <n v="0"/>
    <n v="1397.98"/>
    <n v="0"/>
    <n v="1397.98"/>
  </r>
  <r>
    <s v="12.4.2025 - COMPLETE - Emily P - OneFineDayInc. 360 PNL.xlsx"/>
    <s v="25 - COMPLETE - Emily P - OneFineDayInc. 360 PNL"/>
    <n v="12"/>
    <x v="11"/>
    <n v="2025"/>
    <n v="1630.98"/>
    <n v="0"/>
    <n v="0"/>
    <n v="0"/>
    <n v="0"/>
    <n v="20"/>
    <n v="167"/>
    <n v="0"/>
    <x v="1"/>
    <n v="0"/>
    <n v="0"/>
    <n v="0"/>
    <n v="0"/>
    <n v="0"/>
    <n v="0"/>
    <n v="0"/>
    <n v="0"/>
    <n v="0"/>
    <n v="0"/>
    <n v="0"/>
    <n v="1630.98"/>
    <n v="187"/>
    <n v="1443.98"/>
    <n v="0"/>
    <n v="1443.98"/>
    <n v="0"/>
    <n v="1443.98"/>
  </r>
  <r>
    <s v="12.5-6.2025 - COMPLETE - Edward C - Emota.Inizio CurvePro 2Days PNL.xlsx"/>
    <s v=".2025 - COMPLETE - Edward C - Emota.Inizio CurvePro 2Days PNL"/>
    <n v="12"/>
    <x v="11"/>
    <n v="2025"/>
    <n v="2279.06"/>
    <n v="0"/>
    <n v="0"/>
    <n v="0"/>
    <n v="50"/>
    <n v="20"/>
    <n v="177"/>
    <n v="0"/>
    <x v="1"/>
    <n v="0"/>
    <n v="0"/>
    <n v="0"/>
    <n v="0"/>
    <n v="0"/>
    <n v="0"/>
    <n v="0"/>
    <n v="0"/>
    <n v="0"/>
    <n v="0"/>
    <n v="0"/>
    <n v="2279.06"/>
    <n v="247"/>
    <n v="2032.06"/>
    <n v="0"/>
    <n v="2032.06"/>
    <n v="0"/>
    <n v="2032.06"/>
  </r>
  <r>
    <s v="12.6.2025  - COMPLETE - Moara _ Bailey - Sterns Weaver Miller - RoamerPro+AI PNL.xlsx"/>
    <s v="25  - COMPLETE - Moara _ Bailey - Sterns Weaver Miller - RoamerPro+AI PNL"/>
    <n v="12"/>
    <x v="11"/>
    <n v="2025"/>
    <n v="1503.92"/>
    <n v="0"/>
    <n v="0"/>
    <n v="0"/>
    <n v="50"/>
    <n v="32"/>
    <n v="181"/>
    <n v="0"/>
    <x v="7"/>
    <n v="0"/>
    <n v="0"/>
    <n v="0"/>
    <n v="0"/>
    <n v="0"/>
    <n v="0"/>
    <n v="0"/>
    <n v="0"/>
    <n v="0"/>
    <n v="0"/>
    <n v="0"/>
    <n v="1503.92"/>
    <n v="263"/>
    <n v="1240.92"/>
    <n v="40"/>
    <n v="1200.92"/>
    <n v="0"/>
    <n v="1200.92"/>
  </r>
  <r>
    <s v="12.6.2025 - COMPLETE - Verbatim Languages Oscar_Willy Curve + Custom Backdrop PNL.xlsx"/>
    <s v="25 - COMPLETE - Verbatim Languages Oscar_Willy Curve + Custom Backdrop PNL"/>
    <n v="12"/>
    <x v="11"/>
    <n v="2025"/>
    <n v="1205.1199999999999"/>
    <n v="0"/>
    <n v="0"/>
    <n v="0"/>
    <n v="179.61"/>
    <n v="20"/>
    <n v="181"/>
    <n v="0"/>
    <x v="1"/>
    <n v="0"/>
    <n v="0"/>
    <n v="0"/>
    <n v="0"/>
    <n v="0"/>
    <n v="0"/>
    <n v="0"/>
    <n v="0"/>
    <n v="0"/>
    <n v="0"/>
    <n v="0"/>
    <n v="1205.1199999999999"/>
    <n v="380.61"/>
    <n v="824.50999999999988"/>
    <n v="0"/>
    <n v="824.50999999999988"/>
    <n v="0"/>
    <n v="824.50999999999988"/>
  </r>
  <r>
    <s v="12.7.2025 - COMPLETE - Dana Carl Black Curve PNL.xlsx"/>
    <s v="25 - COMPLETE - Dana Carl Black Curve PNL"/>
    <n v="12"/>
    <x v="11"/>
    <n v="2025"/>
    <n v="559.20000000000005"/>
    <n v="0"/>
    <n v="0"/>
    <n v="0"/>
    <n v="0"/>
    <n v="20"/>
    <n v="166"/>
    <n v="0"/>
    <x v="1"/>
    <n v="0"/>
    <n v="0"/>
    <n v="0"/>
    <n v="0"/>
    <n v="0"/>
    <n v="0"/>
    <n v="0"/>
    <n v="0"/>
    <n v="0"/>
    <n v="0"/>
    <n v="0"/>
    <n v="559.20000000000005"/>
    <n v="186"/>
    <n v="373.20000000000005"/>
    <n v="0"/>
    <n v="373.20000000000005"/>
    <n v="0"/>
    <n v="373.20000000000005"/>
  </r>
  <r>
    <s v="12.9.2025 - Abigail Hyatt PNL COMPLETED.xlsx"/>
    <s v="25 - Abigail Hyatt PNL COMPLETED"/>
    <n v="12"/>
    <x v="11"/>
    <n v="2025"/>
    <n v="699"/>
    <n v="0"/>
    <n v="0"/>
    <n v="0"/>
    <n v="0"/>
    <n v="20"/>
    <n v="166"/>
    <n v="0"/>
    <x v="1"/>
    <n v="0"/>
    <n v="0"/>
    <n v="0"/>
    <n v="0"/>
    <n v="0"/>
    <n v="0"/>
    <n v="0"/>
    <n v="0"/>
    <n v="0"/>
    <n v="0"/>
    <n v="0"/>
    <n v="699"/>
    <n v="186"/>
    <n v="513"/>
    <n v="0"/>
    <n v="513"/>
    <n v="0"/>
    <n v="5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A94591-DE86-4BE3-9132-1ADFFAC62C77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4" firstHeaderRow="0" firstDataRow="1" firstDataCol="0"/>
  <pivotFields count="3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Items count="1">
    <i/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Sum of Total Revenue" fld="25" baseField="0" baseItem="1" numFmtId="164"/>
    <dataField name="Sum of Total COGS" fld="26" baseField="0" baseItem="1" numFmtId="164"/>
    <dataField name="Sum of Gross Profit" fld="27" baseField="0" baseItem="2" numFmtId="164"/>
    <dataField name="Sum of Total Expenses" fld="28" baseField="0" baseItem="1" numFmtId="164"/>
    <dataField name="Sum of Net Operating Profit" fld="29" baseField="0" baseItem="2" numFmtId="164"/>
    <dataField name="Sum of Total Other Expenses" fld="30" baseField="0" baseItem="2" numFmtId="164"/>
    <dataField name="Sum of Net Profit/Loss" fld="31" baseField="0" baseItem="1" numFmtId="164"/>
  </dataFields>
  <formats count="7">
    <format dxfId="103">
      <pivotArea type="all" dataOnly="0" outline="0" fieldPosition="0"/>
    </format>
    <format dxfId="102">
      <pivotArea outline="0" collapsedLevelsAreSubtotals="1" fieldPosition="0"/>
    </format>
    <format dxfId="101">
      <pivotArea dataOnly="0" labelOnly="1" outline="0" fieldPosition="0">
        <references count="1">
          <reference field="4294967294" count="3">
            <x v="0"/>
            <x v="3"/>
            <x v="6"/>
          </reference>
        </references>
      </pivotArea>
    </format>
    <format dxfId="85">
      <pivotArea outline="0" fieldPosition="0">
        <references count="1">
          <reference field="4294967294" count="1">
            <x v="1"/>
          </reference>
        </references>
      </pivotArea>
    </format>
    <format dxfId="80">
      <pivotArea outline="0" fieldPosition="0">
        <references count="1">
          <reference field="4294967294" count="1">
            <x v="2"/>
          </reference>
        </references>
      </pivotArea>
    </format>
    <format dxfId="74">
      <pivotArea outline="0" fieldPosition="0">
        <references count="1">
          <reference field="4294967294" count="1">
            <x v="4"/>
          </reference>
        </references>
      </pivotArea>
    </format>
    <format dxfId="67">
      <pivotArea outline="0" fieldPosition="0">
        <references count="1">
          <reference field="4294967294" count="1"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8FA546-E42F-48BE-88CB-DB7EC885B515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9:H32" firstHeaderRow="0" firstDataRow="1" firstDataCol="1"/>
  <pivotFields count="32">
    <pivotField showAll="0"/>
    <pivotField showAll="0"/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9">
        <item x="1"/>
        <item x="7"/>
        <item x="6"/>
        <item x="0"/>
        <item x="4"/>
        <item x="3"/>
        <item x="2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Sum of Total Revenue" fld="25" baseField="0" baseItem="1" numFmtId="164"/>
    <dataField name="Sum of Total COGS" fld="26" baseField="0" baseItem="1" numFmtId="164"/>
    <dataField name="Sum of Gross Profit" fld="27" baseField="0" baseItem="2" numFmtId="164"/>
    <dataField name="Sum of Total Expenses" fld="28" baseField="0" baseItem="1" numFmtId="164"/>
    <dataField name="Sum of Net Operating Profit" fld="29" baseField="0" baseItem="2" numFmtId="164"/>
    <dataField name="Sum of Total Other Expenses" fld="30" baseField="0" baseItem="2" numFmtId="164"/>
    <dataField name="Sum of Net Profit/Loss" fld="31" baseField="0" baseItem="1" numFmtId="164"/>
  </dataFields>
  <formats count="13">
    <format dxfId="13">
      <pivotArea type="all" dataOnly="0" outline="0" fieldPosition="0"/>
    </format>
    <format dxfId="14">
      <pivotArea outline="0" collapsedLevelsAreSubtotals="1" fieldPosition="0"/>
    </format>
    <format dxfId="15">
      <pivotArea dataOnly="0" labelOnly="1" outline="0" fieldPosition="0">
        <references count="1">
          <reference field="4294967294" count="3">
            <x v="0"/>
            <x v="3"/>
            <x v="6"/>
          </reference>
        </references>
      </pivotArea>
    </format>
    <format dxfId="16">
      <pivotArea outline="0" fieldPosition="0">
        <references count="1">
          <reference field="4294967294" count="1">
            <x v="1"/>
          </reference>
        </references>
      </pivotArea>
    </format>
    <format dxfId="17">
      <pivotArea outline="0" fieldPosition="0">
        <references count="1">
          <reference field="4294967294" count="1">
            <x v="2"/>
          </reference>
        </references>
      </pivotArea>
    </format>
    <format dxfId="18">
      <pivotArea outline="0" fieldPosition="0">
        <references count="1">
          <reference field="4294967294" count="1">
            <x v="4"/>
          </reference>
        </references>
      </pivotArea>
    </format>
    <format dxfId="19">
      <pivotArea outline="0" fieldPosition="0">
        <references count="1">
          <reference field="4294967294" count="1">
            <x v="5"/>
          </reference>
        </references>
      </pivotArea>
    </format>
    <format dxfId="20">
      <pivotArea type="all" dataOnly="0" outline="0" fieldPosition="0"/>
    </format>
    <format dxfId="21">
      <pivotArea outline="0" collapsedLevelsAreSubtotals="1" fieldPosition="0"/>
    </format>
    <format dxfId="22">
      <pivotArea field="3" type="button" dataOnly="0" labelOnly="1" outline="0" axis="axisRow" fieldPosition="0"/>
    </format>
    <format dxfId="23">
      <pivotArea dataOnly="0" labelOnly="1" fieldPosition="0">
        <references count="1">
          <reference field="3" count="0"/>
        </references>
      </pivotArea>
    </format>
    <format dxfId="24">
      <pivotArea dataOnly="0" labelOnly="1" grandRow="1" outline="0" fieldPosition="0"/>
    </format>
    <format dxfId="25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465101-4468-487D-A61D-00FE78C1AAFF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16" firstHeaderRow="0" firstDataRow="1" firstDataCol="1"/>
  <pivotFields count="32">
    <pivotField showAll="0"/>
    <pivotField showAll="0"/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Sum of Total Revenue" fld="25" baseField="0" baseItem="1" numFmtId="164"/>
    <dataField name="Sum of Total COGS" fld="26" baseField="0" baseItem="1" numFmtId="164"/>
    <dataField name="Sum of Gross Profit" fld="27" baseField="0" baseItem="2" numFmtId="164"/>
    <dataField name="Sum of Total Expenses" fld="28" baseField="0" baseItem="1" numFmtId="164"/>
    <dataField name="Sum of Net Operating Profit" fld="29" baseField="0" baseItem="2" numFmtId="164"/>
    <dataField name="Sum of Total Other Expenses" fld="30" baseField="0" baseItem="2" numFmtId="164"/>
    <dataField name="Sum of Net Profit/Loss" fld="31" baseField="0" baseItem="1" numFmtId="164"/>
  </dataFields>
  <formats count="13">
    <format dxfId="39">
      <pivotArea type="all" dataOnly="0" outline="0" fieldPosition="0"/>
    </format>
    <format dxfId="40">
      <pivotArea outline="0" collapsedLevelsAreSubtotals="1" fieldPosition="0"/>
    </format>
    <format dxfId="41">
      <pivotArea dataOnly="0" labelOnly="1" outline="0" fieldPosition="0">
        <references count="1">
          <reference field="4294967294" count="3">
            <x v="0"/>
            <x v="3"/>
            <x v="6"/>
          </reference>
        </references>
      </pivotArea>
    </format>
    <format dxfId="42">
      <pivotArea outline="0" fieldPosition="0">
        <references count="1">
          <reference field="4294967294" count="1">
            <x v="1"/>
          </reference>
        </references>
      </pivotArea>
    </format>
    <format dxfId="43">
      <pivotArea outline="0" fieldPosition="0">
        <references count="1">
          <reference field="4294967294" count="1">
            <x v="2"/>
          </reference>
        </references>
      </pivotArea>
    </format>
    <format dxfId="44">
      <pivotArea outline="0" fieldPosition="0">
        <references count="1">
          <reference field="4294967294" count="1">
            <x v="4"/>
          </reference>
        </references>
      </pivotArea>
    </format>
    <format dxfId="45">
      <pivotArea outline="0" fieldPosition="0">
        <references count="1">
          <reference field="4294967294" count="1">
            <x v="5"/>
          </reference>
        </references>
      </pivotArea>
    </format>
    <format dxfId="31">
      <pivotArea type="all" dataOnly="0" outline="0" fieldPosition="0"/>
    </format>
    <format dxfId="30">
      <pivotArea outline="0" collapsedLevelsAreSubtotals="1" fieldPosition="0"/>
    </format>
    <format dxfId="29">
      <pivotArea field="3" type="button" dataOnly="0" labelOnly="1" outline="0" axis="axisRow" fieldPosition="0"/>
    </format>
    <format dxfId="28">
      <pivotArea dataOnly="0" labelOnly="1" fieldPosition="0">
        <references count="1">
          <reference field="3" count="0"/>
        </references>
      </pivotArea>
    </format>
    <format dxfId="27">
      <pivotArea dataOnly="0" labelOnly="1" grandRow="1" outline="0" fieldPosition="0"/>
    </format>
    <format dxfId="26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8"/>
  <sheetViews>
    <sheetView zoomScale="70" zoomScaleNormal="70" workbookViewId="0">
      <pane xSplit="1" ySplit="1" topLeftCell="S57" activePane="bottomRight" state="frozen"/>
      <selection pane="topRight" activeCell="B1" sqref="B1"/>
      <selection pane="bottomLeft" activeCell="A2" sqref="A2"/>
      <selection pane="bottomRight" activeCell="B11" sqref="B11"/>
    </sheetView>
  </sheetViews>
  <sheetFormatPr defaultRowHeight="15" x14ac:dyDescent="0.25"/>
  <cols>
    <col min="1" max="1" width="83.28515625" bestFit="1" customWidth="1"/>
    <col min="2" max="2" width="72.85546875" bestFit="1" customWidth="1"/>
    <col min="3" max="3" width="8.7109375" bestFit="1" customWidth="1"/>
    <col min="4" max="4" width="18.5703125" bestFit="1" customWidth="1"/>
    <col min="5" max="5" width="7.140625" bestFit="1" customWidth="1"/>
    <col min="6" max="7" width="18.85546875" style="3" bestFit="1" customWidth="1"/>
    <col min="8" max="8" width="20.140625" style="3" bestFit="1" customWidth="1"/>
    <col min="9" max="9" width="17.7109375" style="3" bestFit="1" customWidth="1"/>
    <col min="10" max="10" width="25.42578125" style="5" bestFit="1" customWidth="1"/>
    <col min="11" max="11" width="22.5703125" style="5" bestFit="1" customWidth="1"/>
    <col min="12" max="12" width="22" style="5" bestFit="1" customWidth="1"/>
    <col min="13" max="13" width="19.7109375" style="5" bestFit="1" customWidth="1"/>
    <col min="14" max="14" width="14.42578125" style="8" bestFit="1" customWidth="1"/>
    <col min="15" max="15" width="22.85546875" style="8" bestFit="1" customWidth="1"/>
    <col min="16" max="16" width="13" style="8" bestFit="1" customWidth="1"/>
    <col min="17" max="17" width="17.42578125" style="8" bestFit="1" customWidth="1"/>
    <col min="18" max="18" width="34.5703125" style="8" bestFit="1" customWidth="1"/>
    <col min="19" max="19" width="30" style="8" bestFit="1" customWidth="1"/>
    <col min="20" max="20" width="8.28515625" style="8" bestFit="1" customWidth="1"/>
    <col min="21" max="21" width="20.28515625" style="8" bestFit="1" customWidth="1"/>
    <col min="22" max="22" width="17.7109375" style="8" bestFit="1" customWidth="1"/>
    <col min="23" max="23" width="10.140625" style="8" bestFit="1" customWidth="1"/>
    <col min="24" max="24" width="22.140625" style="10" bestFit="1" customWidth="1"/>
    <col min="25" max="25" width="30" style="10" bestFit="1" customWidth="1"/>
    <col min="26" max="26" width="18.28515625" style="3" bestFit="1" customWidth="1"/>
    <col min="27" max="27" width="15" style="5" bestFit="1" customWidth="1"/>
    <col min="28" max="28" width="15" bestFit="1" customWidth="1"/>
    <col min="29" max="29" width="19.140625" style="8" bestFit="1" customWidth="1"/>
    <col min="30" max="30" width="24.5703125" bestFit="1" customWidth="1"/>
    <col min="31" max="31" width="26.28515625" style="10" bestFit="1" customWidth="1"/>
    <col min="32" max="32" width="18.7109375" bestFit="1" customWidth="1"/>
  </cols>
  <sheetData>
    <row r="1" spans="1:32" s="1" customFormat="1" x14ac:dyDescent="0.25">
      <c r="A1" s="1" t="s">
        <v>0</v>
      </c>
      <c r="B1" s="1" t="s">
        <v>1</v>
      </c>
      <c r="C1" s="1" t="s">
        <v>255</v>
      </c>
      <c r="D1" s="1" t="s">
        <v>256</v>
      </c>
      <c r="E1" s="1" t="s">
        <v>2</v>
      </c>
      <c r="F1" s="2" t="s">
        <v>9</v>
      </c>
      <c r="G1" s="2" t="s">
        <v>10</v>
      </c>
      <c r="H1" s="2" t="s">
        <v>11</v>
      </c>
      <c r="I1" s="2" t="s">
        <v>12</v>
      </c>
      <c r="J1" s="4" t="s">
        <v>13</v>
      </c>
      <c r="K1" s="4" t="s">
        <v>14</v>
      </c>
      <c r="L1" s="4" t="s">
        <v>15</v>
      </c>
      <c r="M1" s="4" t="s">
        <v>16</v>
      </c>
      <c r="N1" s="7" t="s">
        <v>17</v>
      </c>
      <c r="O1" s="7" t="s">
        <v>18</v>
      </c>
      <c r="P1" s="7" t="s">
        <v>19</v>
      </c>
      <c r="Q1" s="7" t="s">
        <v>20</v>
      </c>
      <c r="R1" s="7" t="s">
        <v>21</v>
      </c>
      <c r="S1" s="7" t="s">
        <v>22</v>
      </c>
      <c r="T1" s="7" t="s">
        <v>23</v>
      </c>
      <c r="U1" s="7" t="s">
        <v>24</v>
      </c>
      <c r="V1" s="7" t="s">
        <v>25</v>
      </c>
      <c r="W1" s="7" t="s">
        <v>26</v>
      </c>
      <c r="X1" s="9" t="s">
        <v>27</v>
      </c>
      <c r="Y1" s="9" t="s">
        <v>28</v>
      </c>
      <c r="Z1" s="2" t="s">
        <v>3</v>
      </c>
      <c r="AA1" s="4" t="s">
        <v>4</v>
      </c>
      <c r="AB1" s="1" t="s">
        <v>5</v>
      </c>
      <c r="AC1" s="7" t="s">
        <v>6</v>
      </c>
      <c r="AD1" s="1" t="s">
        <v>7</v>
      </c>
      <c r="AE1" s="9" t="s">
        <v>8</v>
      </c>
      <c r="AF1" s="1" t="s">
        <v>243</v>
      </c>
    </row>
    <row r="2" spans="1:32" x14ac:dyDescent="0.25">
      <c r="A2" t="s">
        <v>29</v>
      </c>
      <c r="B2" t="s">
        <v>30</v>
      </c>
      <c r="C2" s="13">
        <v>1</v>
      </c>
      <c r="D2" t="str">
        <f t="shared" ref="D2:D9" si="0">TEXT(DATE(E2,C2,1),"MMMM")</f>
        <v>January</v>
      </c>
      <c r="E2">
        <v>2025</v>
      </c>
      <c r="F2" s="3">
        <v>2080</v>
      </c>
      <c r="G2" s="3">
        <v>0</v>
      </c>
      <c r="H2" s="3">
        <v>0</v>
      </c>
      <c r="I2" s="3">
        <v>0</v>
      </c>
      <c r="J2" s="5">
        <v>20</v>
      </c>
      <c r="K2" s="5">
        <v>5</v>
      </c>
      <c r="L2" s="5">
        <v>260</v>
      </c>
      <c r="M2" s="5">
        <v>0</v>
      </c>
      <c r="N2" s="8">
        <v>78.23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10">
        <v>0</v>
      </c>
      <c r="Y2" s="10">
        <v>0</v>
      </c>
      <c r="Z2" s="3">
        <f>SUM(F2:I2)</f>
        <v>2080</v>
      </c>
      <c r="AA2" s="5">
        <f>SUM(J2:M2)</f>
        <v>285</v>
      </c>
      <c r="AB2">
        <f>Z2-AA2</f>
        <v>1795</v>
      </c>
      <c r="AC2" s="8">
        <f>SUM(N2:W2)</f>
        <v>78.23</v>
      </c>
      <c r="AD2">
        <f>AB2-AC2</f>
        <v>1716.77</v>
      </c>
      <c r="AE2" s="10">
        <f>SUM(X2:Y2)</f>
        <v>0</v>
      </c>
      <c r="AF2">
        <f>AD2-AE2</f>
        <v>1716.77</v>
      </c>
    </row>
    <row r="3" spans="1:32" x14ac:dyDescent="0.25">
      <c r="A3" t="s">
        <v>31</v>
      </c>
      <c r="B3" t="s">
        <v>32</v>
      </c>
      <c r="C3" s="13">
        <v>1</v>
      </c>
      <c r="D3" t="str">
        <f t="shared" si="0"/>
        <v>January</v>
      </c>
      <c r="E3">
        <v>2025</v>
      </c>
      <c r="F3" s="3">
        <v>2470.44</v>
      </c>
      <c r="G3" s="3">
        <v>0</v>
      </c>
      <c r="H3" s="3">
        <v>0</v>
      </c>
      <c r="I3" s="3">
        <v>0</v>
      </c>
      <c r="J3" s="5">
        <v>155.85</v>
      </c>
      <c r="K3" s="5">
        <v>20</v>
      </c>
      <c r="L3" s="5">
        <v>319</v>
      </c>
      <c r="M3" s="5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10">
        <v>0</v>
      </c>
      <c r="Y3" s="10">
        <v>0</v>
      </c>
      <c r="Z3" s="3">
        <f>SUM(F3:I3)</f>
        <v>2470.44</v>
      </c>
      <c r="AA3" s="5">
        <f>SUM(J3:M3)</f>
        <v>494.85</v>
      </c>
      <c r="AB3">
        <f t="shared" ref="AB3:AB66" si="1">Z3-AA3</f>
        <v>1975.5900000000001</v>
      </c>
      <c r="AC3" s="8">
        <f>SUM(N3:W3)</f>
        <v>0</v>
      </c>
      <c r="AD3">
        <f t="shared" ref="AD3:AD66" si="2">AB3-AC3</f>
        <v>1975.5900000000001</v>
      </c>
      <c r="AE3" s="10">
        <f>SUM(X3:Y3)</f>
        <v>0</v>
      </c>
      <c r="AF3">
        <f t="shared" ref="AF3:AF66" si="3">AD3-AE3</f>
        <v>1975.5900000000001</v>
      </c>
    </row>
    <row r="4" spans="1:32" x14ac:dyDescent="0.25">
      <c r="A4" t="s">
        <v>33</v>
      </c>
      <c r="B4" t="s">
        <v>34</v>
      </c>
      <c r="C4" s="13">
        <v>1</v>
      </c>
      <c r="D4" t="str">
        <f t="shared" si="0"/>
        <v>January</v>
      </c>
      <c r="E4">
        <v>2025</v>
      </c>
      <c r="F4" s="3">
        <v>4874.96</v>
      </c>
      <c r="G4" s="3">
        <v>150</v>
      </c>
      <c r="H4" s="3">
        <v>0</v>
      </c>
      <c r="I4" s="3">
        <v>0</v>
      </c>
      <c r="J4" s="5">
        <v>1341.68</v>
      </c>
      <c r="K4" s="5">
        <v>5</v>
      </c>
      <c r="L4" s="5">
        <v>719.27</v>
      </c>
      <c r="M4" s="5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10">
        <v>0</v>
      </c>
      <c r="Y4" s="10">
        <v>0</v>
      </c>
      <c r="Z4" s="3">
        <f>SUM(F4:I4)</f>
        <v>5024.96</v>
      </c>
      <c r="AA4" s="5">
        <f>SUM(J4:M4)</f>
        <v>2065.9499999999998</v>
      </c>
      <c r="AB4">
        <f t="shared" si="1"/>
        <v>2959.01</v>
      </c>
      <c r="AC4" s="8">
        <f>SUM(N4:W4)</f>
        <v>0</v>
      </c>
      <c r="AD4">
        <f t="shared" si="2"/>
        <v>2959.01</v>
      </c>
      <c r="AE4" s="10">
        <f>SUM(X4:Y4)</f>
        <v>0</v>
      </c>
      <c r="AF4">
        <f t="shared" si="3"/>
        <v>2959.01</v>
      </c>
    </row>
    <row r="5" spans="1:32" x14ac:dyDescent="0.25">
      <c r="A5" t="s">
        <v>35</v>
      </c>
      <c r="B5" t="s">
        <v>36</v>
      </c>
      <c r="C5" s="13">
        <v>1</v>
      </c>
      <c r="D5" t="str">
        <f t="shared" si="0"/>
        <v>January</v>
      </c>
      <c r="E5">
        <v>2025</v>
      </c>
      <c r="F5" s="3">
        <v>3625</v>
      </c>
      <c r="G5" s="3">
        <v>0</v>
      </c>
      <c r="H5" s="3">
        <v>0</v>
      </c>
      <c r="I5" s="3">
        <v>0</v>
      </c>
      <c r="J5" s="5">
        <v>250</v>
      </c>
      <c r="K5" s="5">
        <v>10</v>
      </c>
      <c r="L5" s="5">
        <v>112</v>
      </c>
      <c r="M5" s="5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10">
        <v>0</v>
      </c>
      <c r="Y5" s="10">
        <v>0</v>
      </c>
      <c r="Z5" s="3">
        <f>SUM(F5:I5)</f>
        <v>3625</v>
      </c>
      <c r="AA5" s="5">
        <f>SUM(J5:M5)</f>
        <v>372</v>
      </c>
      <c r="AB5">
        <f t="shared" si="1"/>
        <v>3253</v>
      </c>
      <c r="AC5" s="8">
        <f>SUM(N5:W5)</f>
        <v>0</v>
      </c>
      <c r="AD5">
        <f t="shared" si="2"/>
        <v>3253</v>
      </c>
      <c r="AE5" s="10">
        <f>SUM(X5:Y5)</f>
        <v>0</v>
      </c>
      <c r="AF5">
        <f t="shared" si="3"/>
        <v>3253</v>
      </c>
    </row>
    <row r="6" spans="1:32" x14ac:dyDescent="0.25">
      <c r="A6" t="s">
        <v>37</v>
      </c>
      <c r="B6" t="s">
        <v>38</v>
      </c>
      <c r="C6" s="13">
        <v>1</v>
      </c>
      <c r="D6" t="str">
        <f t="shared" si="0"/>
        <v>January</v>
      </c>
      <c r="E6">
        <v>2025</v>
      </c>
      <c r="F6" s="3">
        <v>674</v>
      </c>
      <c r="G6" s="3">
        <v>0</v>
      </c>
      <c r="H6" s="3">
        <v>0</v>
      </c>
      <c r="I6" s="3">
        <v>0</v>
      </c>
      <c r="J6" s="5">
        <v>0</v>
      </c>
      <c r="K6" s="5">
        <v>10</v>
      </c>
      <c r="L6" s="5">
        <v>207</v>
      </c>
      <c r="M6" s="5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10">
        <v>0</v>
      </c>
      <c r="Y6" s="10">
        <v>0</v>
      </c>
      <c r="Z6" s="3">
        <f>SUM(F6:I6)</f>
        <v>674</v>
      </c>
      <c r="AA6" s="5">
        <f>SUM(J6:M6)</f>
        <v>217</v>
      </c>
      <c r="AB6">
        <f t="shared" si="1"/>
        <v>457</v>
      </c>
      <c r="AC6" s="8">
        <f>SUM(N6:W6)</f>
        <v>0</v>
      </c>
      <c r="AD6">
        <f t="shared" si="2"/>
        <v>457</v>
      </c>
      <c r="AE6" s="10">
        <f>SUM(X6:Y6)</f>
        <v>0</v>
      </c>
      <c r="AF6">
        <f t="shared" si="3"/>
        <v>457</v>
      </c>
    </row>
    <row r="7" spans="1:32" x14ac:dyDescent="0.25">
      <c r="A7" t="s">
        <v>39</v>
      </c>
      <c r="B7" t="s">
        <v>40</v>
      </c>
      <c r="C7" s="13">
        <v>1</v>
      </c>
      <c r="D7" t="str">
        <f t="shared" si="0"/>
        <v>January</v>
      </c>
      <c r="E7">
        <v>2025</v>
      </c>
      <c r="F7" s="3">
        <v>699</v>
      </c>
      <c r="G7" s="3">
        <v>0</v>
      </c>
      <c r="H7" s="3">
        <v>0</v>
      </c>
      <c r="I7" s="3">
        <v>0</v>
      </c>
      <c r="J7" s="5">
        <v>0</v>
      </c>
      <c r="K7" s="5">
        <v>10</v>
      </c>
      <c r="L7" s="5">
        <v>137</v>
      </c>
      <c r="M7" s="5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10">
        <v>0</v>
      </c>
      <c r="Y7" s="10">
        <v>0</v>
      </c>
      <c r="Z7" s="3">
        <f>SUM(F7:I7)</f>
        <v>699</v>
      </c>
      <c r="AA7" s="5">
        <f>SUM(J7:M7)</f>
        <v>147</v>
      </c>
      <c r="AB7">
        <f t="shared" si="1"/>
        <v>552</v>
      </c>
      <c r="AC7" s="8">
        <f>SUM(N7:W7)</f>
        <v>0</v>
      </c>
      <c r="AD7">
        <f t="shared" si="2"/>
        <v>552</v>
      </c>
      <c r="AE7" s="10">
        <f>SUM(X7:Y7)</f>
        <v>0</v>
      </c>
      <c r="AF7">
        <f t="shared" si="3"/>
        <v>552</v>
      </c>
    </row>
    <row r="8" spans="1:32" x14ac:dyDescent="0.25">
      <c r="A8" t="s">
        <v>41</v>
      </c>
      <c r="B8" t="s">
        <v>42</v>
      </c>
      <c r="C8" s="13">
        <v>1</v>
      </c>
      <c r="D8" t="str">
        <f t="shared" si="0"/>
        <v>January</v>
      </c>
      <c r="E8">
        <v>2025</v>
      </c>
      <c r="F8" s="3">
        <v>1648</v>
      </c>
      <c r="G8" s="3">
        <v>0</v>
      </c>
      <c r="H8" s="3">
        <v>0</v>
      </c>
      <c r="I8" s="3">
        <v>0</v>
      </c>
      <c r="J8" s="5">
        <v>0</v>
      </c>
      <c r="K8" s="5">
        <v>20</v>
      </c>
      <c r="L8" s="5">
        <v>125</v>
      </c>
      <c r="M8" s="5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10">
        <v>0</v>
      </c>
      <c r="Y8" s="10">
        <v>0</v>
      </c>
      <c r="Z8" s="3">
        <f>SUM(F8:I8)</f>
        <v>1648</v>
      </c>
      <c r="AA8" s="5">
        <f>SUM(J8:M8)</f>
        <v>145</v>
      </c>
      <c r="AB8">
        <f t="shared" si="1"/>
        <v>1503</v>
      </c>
      <c r="AC8" s="8">
        <f>SUM(N8:W8)</f>
        <v>0</v>
      </c>
      <c r="AD8">
        <f t="shared" si="2"/>
        <v>1503</v>
      </c>
      <c r="AE8" s="10">
        <f>SUM(X8:Y8)</f>
        <v>0</v>
      </c>
      <c r="AF8">
        <f t="shared" si="3"/>
        <v>1503</v>
      </c>
    </row>
    <row r="9" spans="1:32" x14ac:dyDescent="0.25">
      <c r="A9" t="s">
        <v>43</v>
      </c>
      <c r="B9" t="s">
        <v>44</v>
      </c>
      <c r="C9" s="13" t="s">
        <v>254</v>
      </c>
      <c r="D9" t="str">
        <f t="shared" si="0"/>
        <v>January</v>
      </c>
      <c r="E9">
        <v>2025</v>
      </c>
      <c r="F9" s="3">
        <v>559.98</v>
      </c>
      <c r="G9" s="3">
        <v>0</v>
      </c>
      <c r="H9" s="3">
        <v>0</v>
      </c>
      <c r="I9" s="3">
        <v>0</v>
      </c>
      <c r="J9" s="5">
        <v>0</v>
      </c>
      <c r="K9" s="5">
        <v>10</v>
      </c>
      <c r="L9" s="5">
        <v>166</v>
      </c>
      <c r="M9" s="5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10">
        <v>0</v>
      </c>
      <c r="Y9" s="10">
        <v>0</v>
      </c>
      <c r="Z9" s="3">
        <f>SUM(F9:I9)</f>
        <v>559.98</v>
      </c>
      <c r="AA9" s="5">
        <f>SUM(J9:M9)</f>
        <v>176</v>
      </c>
      <c r="AB9">
        <f t="shared" si="1"/>
        <v>383.98</v>
      </c>
      <c r="AC9" s="8">
        <f>SUM(N9:W9)</f>
        <v>0</v>
      </c>
      <c r="AD9">
        <f t="shared" si="2"/>
        <v>383.98</v>
      </c>
      <c r="AE9" s="10">
        <f>SUM(X9:Y9)</f>
        <v>0</v>
      </c>
      <c r="AF9">
        <f t="shared" si="3"/>
        <v>383.98</v>
      </c>
    </row>
    <row r="10" spans="1:32" x14ac:dyDescent="0.25">
      <c r="A10" t="s">
        <v>45</v>
      </c>
      <c r="B10" t="s">
        <v>46</v>
      </c>
      <c r="C10" s="13" t="s">
        <v>254</v>
      </c>
      <c r="D10" t="str">
        <f>TEXT(DATE(E10,C10,1),"MMMM")</f>
        <v>January</v>
      </c>
      <c r="E10">
        <v>2025</v>
      </c>
      <c r="F10" s="3">
        <v>865.98</v>
      </c>
      <c r="G10" s="3">
        <v>0</v>
      </c>
      <c r="H10" s="3">
        <v>0</v>
      </c>
      <c r="I10" s="3">
        <v>0</v>
      </c>
      <c r="J10" s="5">
        <v>0</v>
      </c>
      <c r="K10" s="5">
        <v>10</v>
      </c>
      <c r="L10" s="5">
        <v>12</v>
      </c>
      <c r="M10" s="5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10">
        <v>0</v>
      </c>
      <c r="Y10" s="10">
        <v>0</v>
      </c>
      <c r="Z10" s="3">
        <f>SUM(F10:I10)</f>
        <v>865.98</v>
      </c>
      <c r="AA10" s="5">
        <f>SUM(J10:M10)</f>
        <v>22</v>
      </c>
      <c r="AB10">
        <f t="shared" si="1"/>
        <v>843.98</v>
      </c>
      <c r="AC10" s="8">
        <f>SUM(N10:W10)</f>
        <v>0</v>
      </c>
      <c r="AD10">
        <f t="shared" si="2"/>
        <v>843.98</v>
      </c>
      <c r="AE10" s="10">
        <f>SUM(X10:Y10)</f>
        <v>0</v>
      </c>
      <c r="AF10">
        <f t="shared" si="3"/>
        <v>843.98</v>
      </c>
    </row>
    <row r="11" spans="1:32" x14ac:dyDescent="0.25">
      <c r="A11" t="s">
        <v>47</v>
      </c>
      <c r="B11" t="s">
        <v>48</v>
      </c>
      <c r="C11" s="13" t="s">
        <v>253</v>
      </c>
      <c r="D11" t="str">
        <f t="shared" ref="D11:D74" si="4">TEXT(DATE(E11,C11,1),"MMMM")</f>
        <v>February</v>
      </c>
      <c r="E11">
        <v>2025</v>
      </c>
      <c r="F11" s="3">
        <v>764.15</v>
      </c>
      <c r="G11" s="3">
        <v>0</v>
      </c>
      <c r="H11" s="3">
        <v>0</v>
      </c>
      <c r="I11" s="3">
        <v>0</v>
      </c>
      <c r="J11" s="5">
        <v>0</v>
      </c>
      <c r="K11" s="5">
        <v>10</v>
      </c>
      <c r="L11" s="5">
        <v>12</v>
      </c>
      <c r="M11" s="5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10">
        <v>0</v>
      </c>
      <c r="Y11" s="10">
        <v>0</v>
      </c>
      <c r="Z11" s="3">
        <f>SUM(F11:I11)</f>
        <v>764.15</v>
      </c>
      <c r="AA11" s="5">
        <f>SUM(J11:M11)</f>
        <v>22</v>
      </c>
      <c r="AB11">
        <f t="shared" si="1"/>
        <v>742.15</v>
      </c>
      <c r="AC11" s="8">
        <f>SUM(N11:W11)</f>
        <v>0</v>
      </c>
      <c r="AD11">
        <f t="shared" si="2"/>
        <v>742.15</v>
      </c>
      <c r="AE11" s="10">
        <f>SUM(X11:Y11)</f>
        <v>0</v>
      </c>
      <c r="AF11">
        <f t="shared" si="3"/>
        <v>742.15</v>
      </c>
    </row>
    <row r="12" spans="1:32" x14ac:dyDescent="0.25">
      <c r="A12" t="s">
        <v>49</v>
      </c>
      <c r="B12" t="s">
        <v>50</v>
      </c>
      <c r="C12" s="13">
        <v>2</v>
      </c>
      <c r="D12" t="str">
        <f t="shared" si="4"/>
        <v>February</v>
      </c>
      <c r="E12">
        <v>2025</v>
      </c>
      <c r="F12" s="3">
        <v>1870</v>
      </c>
      <c r="G12" s="3">
        <v>0</v>
      </c>
      <c r="H12" s="3">
        <v>0</v>
      </c>
      <c r="I12" s="3">
        <v>0</v>
      </c>
      <c r="J12" s="5">
        <v>0</v>
      </c>
      <c r="K12" s="5">
        <v>10</v>
      </c>
      <c r="L12" s="5">
        <v>199</v>
      </c>
      <c r="M12" s="5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10">
        <v>0</v>
      </c>
      <c r="Y12" s="10">
        <v>0</v>
      </c>
      <c r="Z12" s="3">
        <f>SUM(F12:I12)</f>
        <v>1870</v>
      </c>
      <c r="AA12" s="5">
        <f>SUM(J12:M12)</f>
        <v>209</v>
      </c>
      <c r="AB12">
        <f t="shared" si="1"/>
        <v>1661</v>
      </c>
      <c r="AC12" s="8">
        <f>SUM(N12:W12)</f>
        <v>0</v>
      </c>
      <c r="AD12">
        <f t="shared" si="2"/>
        <v>1661</v>
      </c>
      <c r="AE12" s="10">
        <f>SUM(X12:Y12)</f>
        <v>0</v>
      </c>
      <c r="AF12">
        <f t="shared" si="3"/>
        <v>1661</v>
      </c>
    </row>
    <row r="13" spans="1:32" x14ac:dyDescent="0.25">
      <c r="A13" t="s">
        <v>51</v>
      </c>
      <c r="B13" t="s">
        <v>52</v>
      </c>
      <c r="C13" s="13">
        <v>2</v>
      </c>
      <c r="D13" t="str">
        <f t="shared" si="4"/>
        <v>February</v>
      </c>
      <c r="E13">
        <v>2025</v>
      </c>
      <c r="F13" s="3">
        <v>1663.2</v>
      </c>
      <c r="G13" s="3">
        <v>0</v>
      </c>
      <c r="H13" s="3">
        <v>0</v>
      </c>
      <c r="I13" s="3">
        <v>0</v>
      </c>
      <c r="J13" s="5">
        <v>0</v>
      </c>
      <c r="K13" s="5">
        <v>10</v>
      </c>
      <c r="L13" s="5">
        <v>166</v>
      </c>
      <c r="M13" s="5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10">
        <v>0</v>
      </c>
      <c r="Y13" s="10">
        <v>0</v>
      </c>
      <c r="Z13" s="3">
        <f>SUM(F13:I13)</f>
        <v>1663.2</v>
      </c>
      <c r="AA13" s="5">
        <f>SUM(J13:M13)</f>
        <v>176</v>
      </c>
      <c r="AB13">
        <f t="shared" si="1"/>
        <v>1487.2</v>
      </c>
      <c r="AC13" s="8">
        <f>SUM(N13:W13)</f>
        <v>0</v>
      </c>
      <c r="AD13">
        <f t="shared" si="2"/>
        <v>1487.2</v>
      </c>
      <c r="AE13" s="10">
        <f>SUM(X13:Y13)</f>
        <v>0</v>
      </c>
      <c r="AF13">
        <f t="shared" si="3"/>
        <v>1487.2</v>
      </c>
    </row>
    <row r="14" spans="1:32" x14ac:dyDescent="0.25">
      <c r="A14" t="s">
        <v>53</v>
      </c>
      <c r="B14" t="s">
        <v>54</v>
      </c>
      <c r="C14" s="13">
        <v>2</v>
      </c>
      <c r="D14" t="str">
        <f t="shared" si="4"/>
        <v>February</v>
      </c>
      <c r="E14">
        <v>2025</v>
      </c>
      <c r="F14" s="3">
        <v>849</v>
      </c>
      <c r="G14" s="3">
        <v>0</v>
      </c>
      <c r="H14" s="3">
        <v>0</v>
      </c>
      <c r="I14" s="3">
        <v>0</v>
      </c>
      <c r="J14" s="5">
        <v>0</v>
      </c>
      <c r="K14" s="5">
        <v>20</v>
      </c>
      <c r="L14" s="5">
        <v>212</v>
      </c>
      <c r="M14" s="5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10">
        <v>0</v>
      </c>
      <c r="Y14" s="10">
        <v>0</v>
      </c>
      <c r="Z14" s="3">
        <f>SUM(F14:I14)</f>
        <v>849</v>
      </c>
      <c r="AA14" s="5">
        <f>SUM(J14:M14)</f>
        <v>232</v>
      </c>
      <c r="AB14">
        <f t="shared" si="1"/>
        <v>617</v>
      </c>
      <c r="AC14" s="8">
        <f>SUM(N14:W14)</f>
        <v>0</v>
      </c>
      <c r="AD14">
        <f t="shared" si="2"/>
        <v>617</v>
      </c>
      <c r="AE14" s="10">
        <f>SUM(X14:Y14)</f>
        <v>0</v>
      </c>
      <c r="AF14">
        <f t="shared" si="3"/>
        <v>617</v>
      </c>
    </row>
    <row r="15" spans="1:32" x14ac:dyDescent="0.25">
      <c r="A15" t="s">
        <v>55</v>
      </c>
      <c r="B15" t="s">
        <v>56</v>
      </c>
      <c r="C15" s="13">
        <v>2</v>
      </c>
      <c r="D15" t="str">
        <f t="shared" si="4"/>
        <v>February</v>
      </c>
      <c r="E15">
        <v>2025</v>
      </c>
      <c r="F15" s="3">
        <v>3780</v>
      </c>
      <c r="G15" s="3">
        <v>0</v>
      </c>
      <c r="H15" s="3">
        <v>0</v>
      </c>
      <c r="I15" s="3">
        <v>0</v>
      </c>
      <c r="J15" s="5">
        <v>214.87</v>
      </c>
      <c r="K15" s="5">
        <v>20</v>
      </c>
      <c r="L15" s="5">
        <v>251</v>
      </c>
      <c r="M15" s="5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10">
        <v>0</v>
      </c>
      <c r="Y15" s="10">
        <v>0</v>
      </c>
      <c r="Z15" s="3">
        <f>SUM(F15:I15)</f>
        <v>3780</v>
      </c>
      <c r="AA15" s="5">
        <f>SUM(J15:M15)</f>
        <v>485.87</v>
      </c>
      <c r="AB15">
        <f t="shared" si="1"/>
        <v>3294.13</v>
      </c>
      <c r="AC15" s="8">
        <f>SUM(N15:W15)</f>
        <v>0</v>
      </c>
      <c r="AD15">
        <f t="shared" si="2"/>
        <v>3294.13</v>
      </c>
      <c r="AE15" s="10">
        <f>SUM(X15:Y15)</f>
        <v>0</v>
      </c>
      <c r="AF15">
        <f t="shared" si="3"/>
        <v>3294.13</v>
      </c>
    </row>
    <row r="16" spans="1:32" x14ac:dyDescent="0.25">
      <c r="A16" t="s">
        <v>57</v>
      </c>
      <c r="B16" t="s">
        <v>58</v>
      </c>
      <c r="C16" s="13">
        <v>2</v>
      </c>
      <c r="D16" t="str">
        <f t="shared" si="4"/>
        <v>February</v>
      </c>
      <c r="E16">
        <v>2025</v>
      </c>
      <c r="F16" s="3">
        <v>1495</v>
      </c>
      <c r="G16" s="3">
        <v>0</v>
      </c>
      <c r="H16" s="3">
        <v>0</v>
      </c>
      <c r="I16" s="3">
        <v>0</v>
      </c>
      <c r="J16" s="5">
        <v>0</v>
      </c>
      <c r="K16" s="5">
        <v>20</v>
      </c>
      <c r="L16" s="5">
        <v>178</v>
      </c>
      <c r="M16" s="5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10">
        <v>0</v>
      </c>
      <c r="Y16" s="10">
        <v>0</v>
      </c>
      <c r="Z16" s="3">
        <f>SUM(F16:I16)</f>
        <v>1495</v>
      </c>
      <c r="AA16" s="5">
        <f>SUM(J16:M16)</f>
        <v>198</v>
      </c>
      <c r="AB16">
        <f t="shared" si="1"/>
        <v>1297</v>
      </c>
      <c r="AC16" s="8">
        <f>SUM(N16:W16)</f>
        <v>0</v>
      </c>
      <c r="AD16">
        <f t="shared" si="2"/>
        <v>1297</v>
      </c>
      <c r="AE16" s="10">
        <f>SUM(X16:Y16)</f>
        <v>0</v>
      </c>
      <c r="AF16">
        <f t="shared" si="3"/>
        <v>1297</v>
      </c>
    </row>
    <row r="17" spans="1:32" x14ac:dyDescent="0.25">
      <c r="A17" t="s">
        <v>59</v>
      </c>
      <c r="B17" t="s">
        <v>60</v>
      </c>
      <c r="C17" s="13">
        <v>2</v>
      </c>
      <c r="D17" t="str">
        <f t="shared" si="4"/>
        <v>February</v>
      </c>
      <c r="E17">
        <v>2025</v>
      </c>
      <c r="F17" s="3">
        <v>1395</v>
      </c>
      <c r="G17" s="3">
        <v>0</v>
      </c>
      <c r="H17" s="3">
        <v>0</v>
      </c>
      <c r="I17" s="3">
        <v>0</v>
      </c>
      <c r="J17" s="5">
        <v>0</v>
      </c>
      <c r="K17" s="5">
        <v>20</v>
      </c>
      <c r="L17" s="5">
        <v>151</v>
      </c>
      <c r="M17" s="5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10">
        <v>0</v>
      </c>
      <c r="Y17" s="10">
        <v>0</v>
      </c>
      <c r="Z17" s="3">
        <f>SUM(F17:I17)</f>
        <v>1395</v>
      </c>
      <c r="AA17" s="5">
        <f>SUM(J17:M17)</f>
        <v>171</v>
      </c>
      <c r="AB17">
        <f t="shared" si="1"/>
        <v>1224</v>
      </c>
      <c r="AC17" s="8">
        <f>SUM(N17:W17)</f>
        <v>0</v>
      </c>
      <c r="AD17">
        <f t="shared" si="2"/>
        <v>1224</v>
      </c>
      <c r="AE17" s="10">
        <f>SUM(X17:Y17)</f>
        <v>0</v>
      </c>
      <c r="AF17">
        <f t="shared" si="3"/>
        <v>1224</v>
      </c>
    </row>
    <row r="18" spans="1:32" x14ac:dyDescent="0.25">
      <c r="A18" t="s">
        <v>61</v>
      </c>
      <c r="B18" t="s">
        <v>62</v>
      </c>
      <c r="C18" s="13">
        <v>2</v>
      </c>
      <c r="D18" t="str">
        <f t="shared" si="4"/>
        <v>February</v>
      </c>
      <c r="E18">
        <v>2025</v>
      </c>
      <c r="F18" s="3">
        <v>1100</v>
      </c>
      <c r="G18" s="3">
        <v>0</v>
      </c>
      <c r="H18" s="3">
        <v>0</v>
      </c>
      <c r="I18" s="3">
        <v>0</v>
      </c>
      <c r="J18" s="5">
        <v>0</v>
      </c>
      <c r="K18" s="5">
        <v>0</v>
      </c>
      <c r="L18" s="5">
        <v>150</v>
      </c>
      <c r="M18" s="5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10">
        <v>0</v>
      </c>
      <c r="Y18" s="10">
        <v>0</v>
      </c>
      <c r="Z18" s="3">
        <f>SUM(F18:I18)</f>
        <v>1100</v>
      </c>
      <c r="AA18" s="5">
        <f>SUM(J18:M18)</f>
        <v>150</v>
      </c>
      <c r="AB18">
        <f t="shared" si="1"/>
        <v>950</v>
      </c>
      <c r="AC18" s="8">
        <f>SUM(N18:W18)</f>
        <v>0</v>
      </c>
      <c r="AD18">
        <f t="shared" si="2"/>
        <v>950</v>
      </c>
      <c r="AE18" s="10">
        <f>SUM(X18:Y18)</f>
        <v>0</v>
      </c>
      <c r="AF18">
        <f t="shared" si="3"/>
        <v>950</v>
      </c>
    </row>
    <row r="19" spans="1:32" x14ac:dyDescent="0.25">
      <c r="A19" t="s">
        <v>63</v>
      </c>
      <c r="B19" t="s">
        <v>64</v>
      </c>
      <c r="C19" s="13">
        <v>2</v>
      </c>
      <c r="D19" t="str">
        <f t="shared" si="4"/>
        <v>February</v>
      </c>
      <c r="E19">
        <v>2025</v>
      </c>
      <c r="F19" s="3">
        <v>3788.75</v>
      </c>
      <c r="G19" s="3">
        <v>0</v>
      </c>
      <c r="H19" s="3">
        <v>0</v>
      </c>
      <c r="I19" s="3">
        <v>0</v>
      </c>
      <c r="J19" s="5">
        <v>79.569999999999993</v>
      </c>
      <c r="K19" s="5">
        <v>20</v>
      </c>
      <c r="L19" s="5">
        <v>12</v>
      </c>
      <c r="M19" s="5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10">
        <v>0</v>
      </c>
      <c r="Y19" s="10">
        <v>0</v>
      </c>
      <c r="Z19" s="3">
        <f>SUM(F19:I19)</f>
        <v>3788.75</v>
      </c>
      <c r="AA19" s="5">
        <f>SUM(J19:M19)</f>
        <v>111.57</v>
      </c>
      <c r="AB19">
        <f t="shared" si="1"/>
        <v>3677.18</v>
      </c>
      <c r="AC19" s="8">
        <f>SUM(N19:W19)</f>
        <v>0</v>
      </c>
      <c r="AD19">
        <f t="shared" si="2"/>
        <v>3677.18</v>
      </c>
      <c r="AE19" s="10">
        <f>SUM(X19:Y19)</f>
        <v>0</v>
      </c>
      <c r="AF19">
        <f t="shared" si="3"/>
        <v>3677.18</v>
      </c>
    </row>
    <row r="20" spans="1:32" x14ac:dyDescent="0.25">
      <c r="A20" t="s">
        <v>65</v>
      </c>
      <c r="B20" t="s">
        <v>66</v>
      </c>
      <c r="C20" s="13">
        <v>2</v>
      </c>
      <c r="D20" t="str">
        <f t="shared" si="4"/>
        <v>February</v>
      </c>
      <c r="E20">
        <v>2025</v>
      </c>
      <c r="F20" s="3">
        <v>699</v>
      </c>
      <c r="G20" s="3">
        <v>0</v>
      </c>
      <c r="H20" s="3">
        <v>0</v>
      </c>
      <c r="I20" s="3">
        <v>0</v>
      </c>
      <c r="J20" s="5">
        <v>0</v>
      </c>
      <c r="K20" s="5">
        <v>20</v>
      </c>
      <c r="L20" s="5">
        <v>137</v>
      </c>
      <c r="M20" s="5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10">
        <v>0</v>
      </c>
      <c r="Y20" s="10">
        <v>0</v>
      </c>
      <c r="Z20" s="3">
        <f>SUM(F20:I20)</f>
        <v>699</v>
      </c>
      <c r="AA20" s="5">
        <f>SUM(J20:M20)</f>
        <v>157</v>
      </c>
      <c r="AB20">
        <f t="shared" si="1"/>
        <v>542</v>
      </c>
      <c r="AC20" s="8">
        <f>SUM(N20:W20)</f>
        <v>0</v>
      </c>
      <c r="AD20">
        <f t="shared" si="2"/>
        <v>542</v>
      </c>
      <c r="AE20" s="10">
        <f>SUM(X20:Y20)</f>
        <v>0</v>
      </c>
      <c r="AF20">
        <f t="shared" si="3"/>
        <v>542</v>
      </c>
    </row>
    <row r="21" spans="1:32" x14ac:dyDescent="0.25">
      <c r="A21" t="s">
        <v>67</v>
      </c>
      <c r="B21" t="s">
        <v>68</v>
      </c>
      <c r="C21" s="13">
        <v>3</v>
      </c>
      <c r="D21" t="str">
        <f t="shared" si="4"/>
        <v>March</v>
      </c>
      <c r="E21">
        <v>2025</v>
      </c>
      <c r="F21" s="3">
        <v>1298</v>
      </c>
      <c r="G21" s="3">
        <v>0</v>
      </c>
      <c r="H21" s="3">
        <v>0</v>
      </c>
      <c r="I21" s="3">
        <v>0</v>
      </c>
      <c r="J21" s="5">
        <v>0</v>
      </c>
      <c r="K21" s="5">
        <v>20</v>
      </c>
      <c r="L21" s="5">
        <v>151</v>
      </c>
      <c r="M21" s="5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10">
        <v>0</v>
      </c>
      <c r="Y21" s="10">
        <v>0</v>
      </c>
      <c r="Z21" s="3">
        <f>SUM(F21:I21)</f>
        <v>1298</v>
      </c>
      <c r="AA21" s="5">
        <f>SUM(J21:M21)</f>
        <v>171</v>
      </c>
      <c r="AB21">
        <f t="shared" si="1"/>
        <v>1127</v>
      </c>
      <c r="AC21" s="8">
        <f>SUM(N21:W21)</f>
        <v>0</v>
      </c>
      <c r="AD21">
        <f t="shared" si="2"/>
        <v>1127</v>
      </c>
      <c r="AE21" s="10">
        <f>SUM(X21:Y21)</f>
        <v>0</v>
      </c>
      <c r="AF21">
        <f t="shared" si="3"/>
        <v>1127</v>
      </c>
    </row>
    <row r="22" spans="1:32" x14ac:dyDescent="0.25">
      <c r="A22" t="s">
        <v>69</v>
      </c>
      <c r="B22" t="s">
        <v>70</v>
      </c>
      <c r="C22" s="13">
        <v>3</v>
      </c>
      <c r="D22" t="str">
        <f t="shared" si="4"/>
        <v>March</v>
      </c>
      <c r="E22">
        <v>2025</v>
      </c>
      <c r="F22" s="3">
        <v>2608.1999999999998</v>
      </c>
      <c r="G22" s="3">
        <v>0</v>
      </c>
      <c r="H22" s="3">
        <v>0</v>
      </c>
      <c r="I22" s="3">
        <v>0</v>
      </c>
      <c r="J22" s="5">
        <v>0</v>
      </c>
      <c r="K22" s="5">
        <v>20</v>
      </c>
      <c r="L22" s="5">
        <v>401</v>
      </c>
      <c r="M22" s="5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10">
        <v>0</v>
      </c>
      <c r="Y22" s="10">
        <v>0</v>
      </c>
      <c r="Z22" s="3">
        <f>SUM(F22:I22)</f>
        <v>2608.1999999999998</v>
      </c>
      <c r="AA22" s="5">
        <f>SUM(J22:M22)</f>
        <v>421</v>
      </c>
      <c r="AB22">
        <f t="shared" si="1"/>
        <v>2187.1999999999998</v>
      </c>
      <c r="AC22" s="8">
        <f>SUM(N22:W22)</f>
        <v>0</v>
      </c>
      <c r="AD22">
        <f t="shared" si="2"/>
        <v>2187.1999999999998</v>
      </c>
      <c r="AE22" s="10">
        <f>SUM(X22:Y22)</f>
        <v>0</v>
      </c>
      <c r="AF22">
        <f t="shared" si="3"/>
        <v>2187.1999999999998</v>
      </c>
    </row>
    <row r="23" spans="1:32" x14ac:dyDescent="0.25">
      <c r="A23" t="s">
        <v>71</v>
      </c>
      <c r="B23" t="s">
        <v>72</v>
      </c>
      <c r="C23" s="13">
        <v>3</v>
      </c>
      <c r="D23" t="str">
        <f t="shared" si="4"/>
        <v>March</v>
      </c>
      <c r="E23">
        <v>2025</v>
      </c>
      <c r="F23" s="3">
        <v>2499</v>
      </c>
      <c r="G23" s="3">
        <v>0</v>
      </c>
      <c r="H23" s="3">
        <v>0</v>
      </c>
      <c r="I23" s="3">
        <v>0</v>
      </c>
      <c r="J23" s="5">
        <v>0</v>
      </c>
      <c r="K23" s="5">
        <v>20</v>
      </c>
      <c r="L23" s="5">
        <v>12</v>
      </c>
      <c r="M23" s="5">
        <v>0</v>
      </c>
      <c r="N23" s="8">
        <v>729.53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48.75</v>
      </c>
      <c r="U23" s="8">
        <v>0</v>
      </c>
      <c r="V23" s="8">
        <v>225</v>
      </c>
      <c r="W23" s="8">
        <v>0</v>
      </c>
      <c r="X23" s="10">
        <v>0</v>
      </c>
      <c r="Y23" s="10">
        <v>0</v>
      </c>
      <c r="Z23" s="3">
        <f>SUM(F23:I23)</f>
        <v>2499</v>
      </c>
      <c r="AA23" s="5">
        <f>SUM(J23:M23)</f>
        <v>32</v>
      </c>
      <c r="AB23">
        <f t="shared" si="1"/>
        <v>2467</v>
      </c>
      <c r="AC23" s="8">
        <f>SUM(N23:W23)</f>
        <v>1003.28</v>
      </c>
      <c r="AD23">
        <f t="shared" si="2"/>
        <v>1463.72</v>
      </c>
      <c r="AE23" s="10">
        <f>SUM(X23:Y23)</f>
        <v>0</v>
      </c>
      <c r="AF23">
        <f t="shared" si="3"/>
        <v>1463.72</v>
      </c>
    </row>
    <row r="24" spans="1:32" x14ac:dyDescent="0.25">
      <c r="A24" t="s">
        <v>73</v>
      </c>
      <c r="B24" t="s">
        <v>74</v>
      </c>
      <c r="C24" s="13">
        <v>3</v>
      </c>
      <c r="D24" t="str">
        <f t="shared" si="4"/>
        <v>March</v>
      </c>
      <c r="E24">
        <v>2025</v>
      </c>
      <c r="F24" s="3">
        <v>810.79</v>
      </c>
      <c r="G24" s="3">
        <v>0</v>
      </c>
      <c r="H24" s="3">
        <v>0</v>
      </c>
      <c r="I24" s="3">
        <v>0</v>
      </c>
      <c r="J24" s="5">
        <v>0</v>
      </c>
      <c r="K24" s="5">
        <v>20</v>
      </c>
      <c r="L24" s="5">
        <v>462</v>
      </c>
      <c r="M24" s="5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10">
        <v>0</v>
      </c>
      <c r="Y24" s="10">
        <v>0</v>
      </c>
      <c r="Z24" s="3">
        <f>SUM(F24:I24)</f>
        <v>810.79</v>
      </c>
      <c r="AA24" s="5">
        <f>SUM(J24:M24)</f>
        <v>482</v>
      </c>
      <c r="AB24">
        <f t="shared" si="1"/>
        <v>328.78999999999996</v>
      </c>
      <c r="AC24" s="8">
        <f>SUM(N24:W24)</f>
        <v>0</v>
      </c>
      <c r="AD24">
        <f t="shared" si="2"/>
        <v>328.78999999999996</v>
      </c>
      <c r="AE24" s="10">
        <f>SUM(X24:Y24)</f>
        <v>0</v>
      </c>
      <c r="AF24">
        <f t="shared" si="3"/>
        <v>328.78999999999996</v>
      </c>
    </row>
    <row r="25" spans="1:32" x14ac:dyDescent="0.25">
      <c r="A25" t="s">
        <v>75</v>
      </c>
      <c r="B25" t="s">
        <v>76</v>
      </c>
      <c r="C25" s="13">
        <v>3</v>
      </c>
      <c r="D25" t="str">
        <f t="shared" si="4"/>
        <v>March</v>
      </c>
      <c r="E25">
        <v>2025</v>
      </c>
      <c r="F25" s="3">
        <v>763.98</v>
      </c>
      <c r="G25" s="3">
        <v>0</v>
      </c>
      <c r="H25" s="3">
        <v>0</v>
      </c>
      <c r="I25" s="3">
        <v>0</v>
      </c>
      <c r="J25" s="5">
        <v>0</v>
      </c>
      <c r="K25" s="5">
        <v>20</v>
      </c>
      <c r="L25" s="5">
        <v>173</v>
      </c>
      <c r="M25" s="5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10">
        <v>0</v>
      </c>
      <c r="Y25" s="10">
        <v>0</v>
      </c>
      <c r="Z25" s="3">
        <f>SUM(F25:I25)</f>
        <v>763.98</v>
      </c>
      <c r="AA25" s="5">
        <f>SUM(J25:M25)</f>
        <v>193</v>
      </c>
      <c r="AB25">
        <f t="shared" si="1"/>
        <v>570.98</v>
      </c>
      <c r="AC25" s="8">
        <f>SUM(N25:W25)</f>
        <v>0</v>
      </c>
      <c r="AD25">
        <f t="shared" si="2"/>
        <v>570.98</v>
      </c>
      <c r="AE25" s="10">
        <f>SUM(X25:Y25)</f>
        <v>0</v>
      </c>
      <c r="AF25">
        <f t="shared" si="3"/>
        <v>570.98</v>
      </c>
    </row>
    <row r="26" spans="1:32" x14ac:dyDescent="0.25">
      <c r="A26" t="s">
        <v>77</v>
      </c>
      <c r="B26" t="s">
        <v>78</v>
      </c>
      <c r="C26" s="13">
        <v>3</v>
      </c>
      <c r="D26" t="str">
        <f t="shared" si="4"/>
        <v>March</v>
      </c>
      <c r="E26">
        <v>2025</v>
      </c>
      <c r="F26" s="3">
        <v>1389.93</v>
      </c>
      <c r="G26" s="3">
        <v>0</v>
      </c>
      <c r="H26" s="3">
        <v>0</v>
      </c>
      <c r="I26" s="3">
        <v>0</v>
      </c>
      <c r="J26" s="5">
        <v>0</v>
      </c>
      <c r="K26" s="5">
        <v>20</v>
      </c>
      <c r="L26" s="5">
        <v>226</v>
      </c>
      <c r="M26" s="5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10">
        <v>0</v>
      </c>
      <c r="Y26" s="10">
        <v>0</v>
      </c>
      <c r="Z26" s="3">
        <f>SUM(F26:I26)</f>
        <v>1389.93</v>
      </c>
      <c r="AA26" s="5">
        <f>SUM(J26:M26)</f>
        <v>246</v>
      </c>
      <c r="AB26">
        <f t="shared" si="1"/>
        <v>1143.93</v>
      </c>
      <c r="AC26" s="8">
        <f>SUM(N26:W26)</f>
        <v>0</v>
      </c>
      <c r="AD26">
        <f t="shared" si="2"/>
        <v>1143.93</v>
      </c>
      <c r="AE26" s="10">
        <f>SUM(X26:Y26)</f>
        <v>0</v>
      </c>
      <c r="AF26">
        <f t="shared" si="3"/>
        <v>1143.93</v>
      </c>
    </row>
    <row r="27" spans="1:32" x14ac:dyDescent="0.25">
      <c r="A27" t="s">
        <v>79</v>
      </c>
      <c r="B27" t="s">
        <v>80</v>
      </c>
      <c r="C27" s="13">
        <v>3</v>
      </c>
      <c r="D27" t="str">
        <f t="shared" si="4"/>
        <v>March</v>
      </c>
      <c r="E27">
        <v>2025</v>
      </c>
      <c r="F27" s="3">
        <v>749</v>
      </c>
      <c r="G27" s="3">
        <v>0</v>
      </c>
      <c r="H27" s="3">
        <v>0</v>
      </c>
      <c r="I27" s="3">
        <v>0</v>
      </c>
      <c r="J27" s="5">
        <v>0</v>
      </c>
      <c r="K27" s="5">
        <v>20</v>
      </c>
      <c r="L27" s="5">
        <v>12</v>
      </c>
      <c r="M27" s="5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10">
        <v>0</v>
      </c>
      <c r="Y27" s="10">
        <v>0</v>
      </c>
      <c r="Z27" s="3">
        <f>SUM(F27:I27)</f>
        <v>749</v>
      </c>
      <c r="AA27" s="5">
        <f>SUM(J27:M27)</f>
        <v>32</v>
      </c>
      <c r="AB27">
        <f t="shared" si="1"/>
        <v>717</v>
      </c>
      <c r="AC27" s="8">
        <f>SUM(N27:W27)</f>
        <v>0</v>
      </c>
      <c r="AD27">
        <f t="shared" si="2"/>
        <v>717</v>
      </c>
      <c r="AE27" s="10">
        <f>SUM(X27:Y27)</f>
        <v>0</v>
      </c>
      <c r="AF27">
        <f t="shared" si="3"/>
        <v>717</v>
      </c>
    </row>
    <row r="28" spans="1:32" x14ac:dyDescent="0.25">
      <c r="A28" t="s">
        <v>81</v>
      </c>
      <c r="B28" t="s">
        <v>82</v>
      </c>
      <c r="C28" s="13">
        <v>4</v>
      </c>
      <c r="D28" t="str">
        <f t="shared" si="4"/>
        <v>April</v>
      </c>
      <c r="E28">
        <v>2025</v>
      </c>
      <c r="F28" s="3">
        <v>0</v>
      </c>
      <c r="G28" s="3">
        <v>0</v>
      </c>
      <c r="H28" s="3">
        <v>0</v>
      </c>
      <c r="I28" s="3">
        <v>0</v>
      </c>
      <c r="J28" s="5">
        <v>0</v>
      </c>
      <c r="K28" s="5">
        <v>20</v>
      </c>
      <c r="L28" s="5">
        <v>217</v>
      </c>
      <c r="M28" s="5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10">
        <v>0</v>
      </c>
      <c r="Y28" s="10">
        <v>0</v>
      </c>
      <c r="Z28" s="3">
        <f>SUM(F28:I28)</f>
        <v>0</v>
      </c>
      <c r="AA28" s="5">
        <f>SUM(J28:M28)</f>
        <v>237</v>
      </c>
      <c r="AB28">
        <f t="shared" si="1"/>
        <v>-237</v>
      </c>
      <c r="AC28" s="8">
        <f>SUM(N28:W28)</f>
        <v>0</v>
      </c>
      <c r="AD28">
        <f t="shared" si="2"/>
        <v>-237</v>
      </c>
      <c r="AE28" s="10">
        <f>SUM(X28:Y28)</f>
        <v>0</v>
      </c>
      <c r="AF28">
        <f t="shared" si="3"/>
        <v>-237</v>
      </c>
    </row>
    <row r="29" spans="1:32" x14ac:dyDescent="0.25">
      <c r="A29" t="s">
        <v>83</v>
      </c>
      <c r="B29" t="s">
        <v>84</v>
      </c>
      <c r="C29" s="13">
        <v>4</v>
      </c>
      <c r="D29" t="str">
        <f t="shared" si="4"/>
        <v>April</v>
      </c>
      <c r="E29">
        <v>2025</v>
      </c>
      <c r="F29" s="3">
        <v>2000</v>
      </c>
      <c r="G29" s="3">
        <v>0</v>
      </c>
      <c r="H29" s="3">
        <v>0</v>
      </c>
      <c r="I29" s="3">
        <v>0</v>
      </c>
      <c r="J29" s="5">
        <v>0</v>
      </c>
      <c r="K29" s="5">
        <v>20</v>
      </c>
      <c r="L29" s="5">
        <v>169</v>
      </c>
      <c r="M29" s="5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10">
        <v>0</v>
      </c>
      <c r="Y29" s="10">
        <v>0</v>
      </c>
      <c r="Z29" s="3">
        <f>SUM(F29:I29)</f>
        <v>2000</v>
      </c>
      <c r="AA29" s="5">
        <f>SUM(J29:M29)</f>
        <v>189</v>
      </c>
      <c r="AB29">
        <f t="shared" si="1"/>
        <v>1811</v>
      </c>
      <c r="AC29" s="8">
        <f>SUM(N29:W29)</f>
        <v>0</v>
      </c>
      <c r="AD29">
        <f t="shared" si="2"/>
        <v>1811</v>
      </c>
      <c r="AE29" s="10">
        <f>SUM(X29:Y29)</f>
        <v>0</v>
      </c>
      <c r="AF29">
        <f t="shared" si="3"/>
        <v>1811</v>
      </c>
    </row>
    <row r="30" spans="1:32" x14ac:dyDescent="0.25">
      <c r="A30" t="s">
        <v>85</v>
      </c>
      <c r="B30" t="s">
        <v>86</v>
      </c>
      <c r="C30" s="13">
        <v>4</v>
      </c>
      <c r="D30" t="str">
        <f t="shared" si="4"/>
        <v>April</v>
      </c>
      <c r="E30">
        <v>2025</v>
      </c>
      <c r="F30" s="3">
        <v>899</v>
      </c>
      <c r="G30" s="3">
        <v>0</v>
      </c>
      <c r="H30" s="3">
        <v>0</v>
      </c>
      <c r="I30" s="3">
        <v>0</v>
      </c>
      <c r="J30" s="5">
        <v>0</v>
      </c>
      <c r="K30" s="5">
        <v>20</v>
      </c>
      <c r="L30" s="5">
        <v>405.28</v>
      </c>
      <c r="M30" s="5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10">
        <v>0</v>
      </c>
      <c r="Y30" s="10">
        <v>0</v>
      </c>
      <c r="Z30" s="3">
        <f>SUM(F30:I30)</f>
        <v>899</v>
      </c>
      <c r="AA30" s="5">
        <f>SUM(J30:M30)</f>
        <v>425.28</v>
      </c>
      <c r="AB30">
        <f t="shared" si="1"/>
        <v>473.72</v>
      </c>
      <c r="AC30" s="8">
        <f>SUM(N30:W30)</f>
        <v>0</v>
      </c>
      <c r="AD30">
        <f t="shared" si="2"/>
        <v>473.72</v>
      </c>
      <c r="AE30" s="10">
        <f>SUM(X30:Y30)</f>
        <v>0</v>
      </c>
      <c r="AF30">
        <f t="shared" si="3"/>
        <v>473.72</v>
      </c>
    </row>
    <row r="31" spans="1:32" x14ac:dyDescent="0.25">
      <c r="A31" t="s">
        <v>87</v>
      </c>
      <c r="B31" t="s">
        <v>88</v>
      </c>
      <c r="C31" s="13">
        <v>4</v>
      </c>
      <c r="D31" t="str">
        <f t="shared" si="4"/>
        <v>April</v>
      </c>
      <c r="E31">
        <v>2025</v>
      </c>
      <c r="F31" s="3">
        <v>599</v>
      </c>
      <c r="G31" s="3">
        <v>0</v>
      </c>
      <c r="H31" s="3">
        <v>0</v>
      </c>
      <c r="I31" s="3">
        <v>0</v>
      </c>
      <c r="J31" s="5">
        <v>0</v>
      </c>
      <c r="K31" s="5">
        <v>20</v>
      </c>
      <c r="L31" s="5">
        <v>173</v>
      </c>
      <c r="M31" s="5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10">
        <v>0</v>
      </c>
      <c r="Y31" s="10">
        <v>0</v>
      </c>
      <c r="Z31" s="3">
        <f>SUM(F31:I31)</f>
        <v>599</v>
      </c>
      <c r="AA31" s="5">
        <f>SUM(J31:M31)</f>
        <v>193</v>
      </c>
      <c r="AB31">
        <f t="shared" si="1"/>
        <v>406</v>
      </c>
      <c r="AC31" s="8">
        <f>SUM(N31:W31)</f>
        <v>0</v>
      </c>
      <c r="AD31">
        <f t="shared" si="2"/>
        <v>406</v>
      </c>
      <c r="AE31" s="10">
        <f>SUM(X31:Y31)</f>
        <v>0</v>
      </c>
      <c r="AF31">
        <f t="shared" si="3"/>
        <v>406</v>
      </c>
    </row>
    <row r="32" spans="1:32" x14ac:dyDescent="0.25">
      <c r="A32" t="s">
        <v>89</v>
      </c>
      <c r="B32" t="s">
        <v>90</v>
      </c>
      <c r="C32" s="13">
        <v>4</v>
      </c>
      <c r="D32" t="str">
        <f t="shared" si="4"/>
        <v>April</v>
      </c>
      <c r="E32">
        <v>2025</v>
      </c>
      <c r="F32" s="3">
        <v>827.01</v>
      </c>
      <c r="G32" s="3">
        <v>0</v>
      </c>
      <c r="H32" s="3">
        <v>0</v>
      </c>
      <c r="I32" s="3">
        <v>0</v>
      </c>
      <c r="J32" s="5">
        <v>0</v>
      </c>
      <c r="K32" s="5">
        <v>20</v>
      </c>
      <c r="L32" s="5">
        <v>163</v>
      </c>
      <c r="M32" s="5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10">
        <v>0</v>
      </c>
      <c r="Y32" s="10">
        <v>0</v>
      </c>
      <c r="Z32" s="3">
        <f>SUM(F32:I32)</f>
        <v>827.01</v>
      </c>
      <c r="AA32" s="5">
        <f>SUM(J32:M32)</f>
        <v>183</v>
      </c>
      <c r="AB32">
        <f t="shared" si="1"/>
        <v>644.01</v>
      </c>
      <c r="AC32" s="8">
        <f>SUM(N32:W32)</f>
        <v>0</v>
      </c>
      <c r="AD32">
        <f t="shared" si="2"/>
        <v>644.01</v>
      </c>
      <c r="AE32" s="10">
        <f>SUM(X32:Y32)</f>
        <v>0</v>
      </c>
      <c r="AF32">
        <f t="shared" si="3"/>
        <v>644.01</v>
      </c>
    </row>
    <row r="33" spans="1:32" x14ac:dyDescent="0.25">
      <c r="A33" t="s">
        <v>91</v>
      </c>
      <c r="B33" t="s">
        <v>92</v>
      </c>
      <c r="C33" s="13">
        <v>4</v>
      </c>
      <c r="D33" t="str">
        <f t="shared" si="4"/>
        <v>April</v>
      </c>
      <c r="E33">
        <v>2025</v>
      </c>
      <c r="F33" s="3">
        <v>559.20000000000005</v>
      </c>
      <c r="G33" s="3">
        <v>0</v>
      </c>
      <c r="H33" s="3">
        <v>0</v>
      </c>
      <c r="I33" s="3">
        <v>0</v>
      </c>
      <c r="J33" s="5">
        <v>0</v>
      </c>
      <c r="K33" s="5">
        <v>20</v>
      </c>
      <c r="L33" s="5">
        <v>151</v>
      </c>
      <c r="M33" s="5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10">
        <v>0</v>
      </c>
      <c r="Y33" s="10">
        <v>0</v>
      </c>
      <c r="Z33" s="3">
        <f>SUM(F33:I33)</f>
        <v>559.20000000000005</v>
      </c>
      <c r="AA33" s="5">
        <f>SUM(J33:M33)</f>
        <v>171</v>
      </c>
      <c r="AB33">
        <f t="shared" si="1"/>
        <v>388.20000000000005</v>
      </c>
      <c r="AC33" s="8">
        <f>SUM(N33:W33)</f>
        <v>0</v>
      </c>
      <c r="AD33">
        <f t="shared" si="2"/>
        <v>388.20000000000005</v>
      </c>
      <c r="AE33" s="10">
        <f>SUM(X33:Y33)</f>
        <v>0</v>
      </c>
      <c r="AF33">
        <f t="shared" si="3"/>
        <v>388.20000000000005</v>
      </c>
    </row>
    <row r="34" spans="1:32" x14ac:dyDescent="0.25">
      <c r="A34" t="s">
        <v>93</v>
      </c>
      <c r="B34" t="s">
        <v>94</v>
      </c>
      <c r="C34" s="13">
        <v>4</v>
      </c>
      <c r="D34" t="str">
        <f t="shared" si="4"/>
        <v>April</v>
      </c>
      <c r="E34">
        <v>2025</v>
      </c>
      <c r="F34" s="3">
        <v>699</v>
      </c>
      <c r="G34" s="3">
        <v>0</v>
      </c>
      <c r="H34" s="3">
        <v>0</v>
      </c>
      <c r="I34" s="3">
        <v>0</v>
      </c>
      <c r="J34" s="5">
        <v>0</v>
      </c>
      <c r="K34" s="5">
        <v>20</v>
      </c>
      <c r="L34" s="5">
        <v>166</v>
      </c>
      <c r="M34" s="5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10">
        <v>0</v>
      </c>
      <c r="Y34" s="10">
        <v>0</v>
      </c>
      <c r="Z34" s="3">
        <f>SUM(F34:I34)</f>
        <v>699</v>
      </c>
      <c r="AA34" s="5">
        <f>SUM(J34:M34)</f>
        <v>186</v>
      </c>
      <c r="AB34">
        <f t="shared" si="1"/>
        <v>513</v>
      </c>
      <c r="AC34" s="8">
        <f>SUM(N34:W34)</f>
        <v>0</v>
      </c>
      <c r="AD34">
        <f t="shared" si="2"/>
        <v>513</v>
      </c>
      <c r="AE34" s="10">
        <f>SUM(X34:Y34)</f>
        <v>0</v>
      </c>
      <c r="AF34">
        <f t="shared" si="3"/>
        <v>513</v>
      </c>
    </row>
    <row r="35" spans="1:32" x14ac:dyDescent="0.25">
      <c r="A35" t="s">
        <v>95</v>
      </c>
      <c r="B35" t="s">
        <v>96</v>
      </c>
      <c r="C35" s="13">
        <v>4</v>
      </c>
      <c r="D35" t="str">
        <f t="shared" si="4"/>
        <v>April</v>
      </c>
      <c r="E35">
        <v>2025</v>
      </c>
      <c r="F35" s="3">
        <v>49500</v>
      </c>
      <c r="G35" s="3">
        <v>0</v>
      </c>
      <c r="H35" s="3">
        <v>0</v>
      </c>
      <c r="I35" s="3">
        <v>0</v>
      </c>
      <c r="J35" s="5">
        <v>0</v>
      </c>
      <c r="K35" s="5">
        <v>20</v>
      </c>
      <c r="L35" s="5">
        <v>6238</v>
      </c>
      <c r="M35" s="5">
        <v>12686</v>
      </c>
      <c r="N35" s="8">
        <v>425.75</v>
      </c>
      <c r="O35" s="8">
        <v>600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10">
        <v>0</v>
      </c>
      <c r="Y35" s="10">
        <v>0</v>
      </c>
      <c r="Z35" s="3">
        <f>SUM(F35:I35)</f>
        <v>49500</v>
      </c>
      <c r="AA35" s="5">
        <f>SUM(J35:M35)</f>
        <v>18944</v>
      </c>
      <c r="AB35">
        <f t="shared" si="1"/>
        <v>30556</v>
      </c>
      <c r="AC35" s="8">
        <f>SUM(N35:W35)</f>
        <v>1025.75</v>
      </c>
      <c r="AD35">
        <f t="shared" si="2"/>
        <v>29530.25</v>
      </c>
      <c r="AE35" s="10">
        <f>SUM(X35:Y35)</f>
        <v>0</v>
      </c>
      <c r="AF35">
        <f t="shared" si="3"/>
        <v>29530.25</v>
      </c>
    </row>
    <row r="36" spans="1:32" x14ac:dyDescent="0.25">
      <c r="A36" t="s">
        <v>97</v>
      </c>
      <c r="B36" t="s">
        <v>98</v>
      </c>
      <c r="C36" s="13">
        <v>4</v>
      </c>
      <c r="D36" t="str">
        <f t="shared" si="4"/>
        <v>April</v>
      </c>
      <c r="E36">
        <v>2025</v>
      </c>
      <c r="F36" s="3">
        <v>500</v>
      </c>
      <c r="G36" s="3">
        <v>0</v>
      </c>
      <c r="H36" s="3">
        <v>0</v>
      </c>
      <c r="I36" s="3">
        <v>0</v>
      </c>
      <c r="J36" s="5">
        <v>0</v>
      </c>
      <c r="K36" s="5">
        <v>20</v>
      </c>
      <c r="L36" s="5">
        <v>168.45</v>
      </c>
      <c r="M36" s="5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10">
        <v>0</v>
      </c>
      <c r="Y36" s="10">
        <v>0</v>
      </c>
      <c r="Z36" s="3">
        <f>SUM(F36:I36)</f>
        <v>500</v>
      </c>
      <c r="AA36" s="5">
        <f>SUM(J36:M36)</f>
        <v>188.45</v>
      </c>
      <c r="AB36">
        <f t="shared" si="1"/>
        <v>311.55</v>
      </c>
      <c r="AC36" s="8">
        <f>SUM(N36:W36)</f>
        <v>0</v>
      </c>
      <c r="AD36">
        <f t="shared" si="2"/>
        <v>311.55</v>
      </c>
      <c r="AE36" s="10">
        <f>SUM(X36:Y36)</f>
        <v>0</v>
      </c>
      <c r="AF36">
        <f t="shared" si="3"/>
        <v>311.55</v>
      </c>
    </row>
    <row r="37" spans="1:32" x14ac:dyDescent="0.25">
      <c r="A37" t="s">
        <v>99</v>
      </c>
      <c r="B37" t="s">
        <v>100</v>
      </c>
      <c r="C37" s="13">
        <v>4</v>
      </c>
      <c r="D37" t="str">
        <f t="shared" si="4"/>
        <v>April</v>
      </c>
      <c r="E37">
        <v>2025</v>
      </c>
      <c r="F37" s="3">
        <v>599</v>
      </c>
      <c r="G37" s="3">
        <v>0</v>
      </c>
      <c r="H37" s="3">
        <v>0</v>
      </c>
      <c r="I37" s="3">
        <v>0</v>
      </c>
      <c r="J37" s="5">
        <v>0</v>
      </c>
      <c r="K37" s="5">
        <v>20</v>
      </c>
      <c r="L37" s="5">
        <v>12</v>
      </c>
      <c r="M37" s="5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10">
        <v>0</v>
      </c>
      <c r="Y37" s="10">
        <v>0</v>
      </c>
      <c r="Z37" s="3">
        <f>SUM(F37:I37)</f>
        <v>599</v>
      </c>
      <c r="AA37" s="5">
        <f>SUM(J37:M37)</f>
        <v>32</v>
      </c>
      <c r="AB37">
        <f t="shared" si="1"/>
        <v>567</v>
      </c>
      <c r="AC37" s="8">
        <f>SUM(N37:W37)</f>
        <v>0</v>
      </c>
      <c r="AD37">
        <f t="shared" si="2"/>
        <v>567</v>
      </c>
      <c r="AE37" s="10">
        <f>SUM(X37:Y37)</f>
        <v>0</v>
      </c>
      <c r="AF37">
        <f t="shared" si="3"/>
        <v>567</v>
      </c>
    </row>
    <row r="38" spans="1:32" x14ac:dyDescent="0.25">
      <c r="A38" t="s">
        <v>101</v>
      </c>
      <c r="B38" t="s">
        <v>102</v>
      </c>
      <c r="C38" s="13">
        <v>4</v>
      </c>
      <c r="D38" t="str">
        <f t="shared" si="4"/>
        <v>April</v>
      </c>
      <c r="E38">
        <v>2025</v>
      </c>
      <c r="F38" s="3">
        <v>759.32</v>
      </c>
      <c r="G38" s="3">
        <v>0</v>
      </c>
      <c r="H38" s="3">
        <v>0</v>
      </c>
      <c r="I38" s="3">
        <v>0</v>
      </c>
      <c r="J38" s="5">
        <v>0</v>
      </c>
      <c r="K38" s="5">
        <v>20</v>
      </c>
      <c r="L38" s="5">
        <v>159</v>
      </c>
      <c r="M38" s="5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10">
        <v>0</v>
      </c>
      <c r="Y38" s="10">
        <v>0</v>
      </c>
      <c r="Z38" s="3">
        <f>SUM(F38:I38)</f>
        <v>759.32</v>
      </c>
      <c r="AA38" s="5">
        <f>SUM(J38:M38)</f>
        <v>179</v>
      </c>
      <c r="AB38">
        <f t="shared" si="1"/>
        <v>580.32000000000005</v>
      </c>
      <c r="AC38" s="8">
        <f>SUM(N38:W38)</f>
        <v>0</v>
      </c>
      <c r="AD38">
        <f t="shared" si="2"/>
        <v>580.32000000000005</v>
      </c>
      <c r="AE38" s="10">
        <f>SUM(X38:Y38)</f>
        <v>0</v>
      </c>
      <c r="AF38">
        <f t="shared" si="3"/>
        <v>580.32000000000005</v>
      </c>
    </row>
    <row r="39" spans="1:32" x14ac:dyDescent="0.25">
      <c r="A39" t="s">
        <v>103</v>
      </c>
      <c r="B39" t="s">
        <v>104</v>
      </c>
      <c r="C39" s="13">
        <v>5</v>
      </c>
      <c r="D39" t="str">
        <f t="shared" si="4"/>
        <v>May</v>
      </c>
      <c r="E39">
        <v>2025</v>
      </c>
      <c r="F39" s="3">
        <v>255</v>
      </c>
      <c r="G39" s="3">
        <v>0</v>
      </c>
      <c r="H39" s="3">
        <v>0</v>
      </c>
      <c r="I39" s="3">
        <v>0</v>
      </c>
      <c r="J39" s="5">
        <v>0</v>
      </c>
      <c r="K39" s="5">
        <v>0</v>
      </c>
      <c r="L39" s="5">
        <v>12</v>
      </c>
      <c r="M39" s="5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10">
        <v>0</v>
      </c>
      <c r="Y39" s="10">
        <v>0</v>
      </c>
      <c r="Z39" s="3">
        <f>SUM(F39:I39)</f>
        <v>255</v>
      </c>
      <c r="AA39" s="5">
        <f>SUM(J39:M39)</f>
        <v>12</v>
      </c>
      <c r="AB39">
        <f t="shared" si="1"/>
        <v>243</v>
      </c>
      <c r="AC39" s="8">
        <f>SUM(N39:W39)</f>
        <v>0</v>
      </c>
      <c r="AD39">
        <f t="shared" si="2"/>
        <v>243</v>
      </c>
      <c r="AE39" s="10">
        <f>SUM(X39:Y39)</f>
        <v>0</v>
      </c>
      <c r="AF39">
        <f t="shared" si="3"/>
        <v>243</v>
      </c>
    </row>
    <row r="40" spans="1:32" x14ac:dyDescent="0.25">
      <c r="A40" t="s">
        <v>105</v>
      </c>
      <c r="B40" t="s">
        <v>106</v>
      </c>
      <c r="C40" s="13">
        <v>5</v>
      </c>
      <c r="D40" t="str">
        <f t="shared" si="4"/>
        <v>May</v>
      </c>
      <c r="E40">
        <v>2025</v>
      </c>
      <c r="F40" s="3">
        <v>1676.31</v>
      </c>
      <c r="G40" s="3">
        <v>0</v>
      </c>
      <c r="H40" s="3">
        <v>0</v>
      </c>
      <c r="I40" s="3">
        <v>0</v>
      </c>
      <c r="J40" s="5">
        <v>145.76</v>
      </c>
      <c r="K40" s="5">
        <v>0</v>
      </c>
      <c r="L40" s="5">
        <v>12</v>
      </c>
      <c r="M40" s="5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10">
        <v>0</v>
      </c>
      <c r="Y40" s="10">
        <v>0</v>
      </c>
      <c r="Z40" s="3">
        <f>SUM(F40:I40)</f>
        <v>1676.31</v>
      </c>
      <c r="AA40" s="5">
        <f>SUM(J40:M40)</f>
        <v>157.76</v>
      </c>
      <c r="AB40">
        <f t="shared" si="1"/>
        <v>1518.55</v>
      </c>
      <c r="AC40" s="8">
        <f>SUM(N40:W40)</f>
        <v>0</v>
      </c>
      <c r="AD40">
        <f t="shared" si="2"/>
        <v>1518.55</v>
      </c>
      <c r="AE40" s="10">
        <f>SUM(X40:Y40)</f>
        <v>0</v>
      </c>
      <c r="AF40">
        <f t="shared" si="3"/>
        <v>1518.55</v>
      </c>
    </row>
    <row r="41" spans="1:32" x14ac:dyDescent="0.25">
      <c r="A41" t="s">
        <v>107</v>
      </c>
      <c r="B41" t="s">
        <v>108</v>
      </c>
      <c r="C41" s="13">
        <v>5</v>
      </c>
      <c r="D41" t="str">
        <f t="shared" si="4"/>
        <v>May</v>
      </c>
      <c r="E41">
        <v>2025</v>
      </c>
      <c r="F41" s="3">
        <v>1398</v>
      </c>
      <c r="G41" s="3">
        <v>0</v>
      </c>
      <c r="H41" s="3">
        <v>0</v>
      </c>
      <c r="I41" s="3">
        <v>0</v>
      </c>
      <c r="J41" s="5">
        <v>0</v>
      </c>
      <c r="K41" s="5">
        <v>0</v>
      </c>
      <c r="L41" s="5">
        <v>335</v>
      </c>
      <c r="M41" s="5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10">
        <v>0</v>
      </c>
      <c r="Y41" s="10">
        <v>0</v>
      </c>
      <c r="Z41" s="3">
        <f>SUM(F41:I41)</f>
        <v>1398</v>
      </c>
      <c r="AA41" s="5">
        <f>SUM(J41:M41)</f>
        <v>335</v>
      </c>
      <c r="AB41">
        <f t="shared" si="1"/>
        <v>1063</v>
      </c>
      <c r="AC41" s="8">
        <f>SUM(N41:W41)</f>
        <v>0</v>
      </c>
      <c r="AD41">
        <f t="shared" si="2"/>
        <v>1063</v>
      </c>
      <c r="AE41" s="10">
        <f>SUM(X41:Y41)</f>
        <v>0</v>
      </c>
      <c r="AF41">
        <f t="shared" si="3"/>
        <v>1063</v>
      </c>
    </row>
    <row r="42" spans="1:32" x14ac:dyDescent="0.25">
      <c r="A42" t="s">
        <v>109</v>
      </c>
      <c r="B42" t="s">
        <v>110</v>
      </c>
      <c r="C42" s="13">
        <v>5</v>
      </c>
      <c r="D42" t="str">
        <f t="shared" si="4"/>
        <v>May</v>
      </c>
      <c r="E42">
        <v>2025</v>
      </c>
      <c r="F42" s="3">
        <v>744.43</v>
      </c>
      <c r="G42" s="3">
        <v>0</v>
      </c>
      <c r="H42" s="3">
        <v>0</v>
      </c>
      <c r="I42" s="3">
        <v>0</v>
      </c>
      <c r="J42" s="5">
        <v>0</v>
      </c>
      <c r="K42" s="5">
        <v>0</v>
      </c>
      <c r="L42" s="5">
        <v>12</v>
      </c>
      <c r="M42" s="5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10">
        <v>0</v>
      </c>
      <c r="Y42" s="10">
        <v>0</v>
      </c>
      <c r="Z42" s="3">
        <f>SUM(F42:I42)</f>
        <v>744.43</v>
      </c>
      <c r="AA42" s="5">
        <f>SUM(J42:M42)</f>
        <v>12</v>
      </c>
      <c r="AB42">
        <f t="shared" si="1"/>
        <v>732.43</v>
      </c>
      <c r="AC42" s="8">
        <f>SUM(N42:W42)</f>
        <v>0</v>
      </c>
      <c r="AD42">
        <f t="shared" si="2"/>
        <v>732.43</v>
      </c>
      <c r="AE42" s="10">
        <f>SUM(X42:Y42)</f>
        <v>0</v>
      </c>
      <c r="AF42">
        <f t="shared" si="3"/>
        <v>732.43</v>
      </c>
    </row>
    <row r="43" spans="1:32" x14ac:dyDescent="0.25">
      <c r="A43" t="s">
        <v>111</v>
      </c>
      <c r="B43" t="s">
        <v>112</v>
      </c>
      <c r="C43" s="13">
        <v>5</v>
      </c>
      <c r="D43" t="str">
        <f t="shared" si="4"/>
        <v>May</v>
      </c>
      <c r="E43">
        <v>2025</v>
      </c>
      <c r="F43" s="3">
        <v>649</v>
      </c>
      <c r="G43" s="3">
        <v>0</v>
      </c>
      <c r="H43" s="3">
        <v>0</v>
      </c>
      <c r="I43" s="3">
        <v>0</v>
      </c>
      <c r="J43" s="5">
        <v>0</v>
      </c>
      <c r="K43" s="5">
        <v>0</v>
      </c>
      <c r="L43" s="5">
        <v>12</v>
      </c>
      <c r="M43" s="5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10">
        <v>0</v>
      </c>
      <c r="Y43" s="10">
        <v>0</v>
      </c>
      <c r="Z43" s="3">
        <f>SUM(F43:I43)</f>
        <v>649</v>
      </c>
      <c r="AA43" s="5">
        <f>SUM(J43:M43)</f>
        <v>12</v>
      </c>
      <c r="AB43">
        <f t="shared" si="1"/>
        <v>637</v>
      </c>
      <c r="AC43" s="8">
        <f>SUM(N43:W43)</f>
        <v>0</v>
      </c>
      <c r="AD43">
        <f t="shared" si="2"/>
        <v>637</v>
      </c>
      <c r="AE43" s="10">
        <f>SUM(X43:Y43)</f>
        <v>0</v>
      </c>
      <c r="AF43">
        <f t="shared" si="3"/>
        <v>637</v>
      </c>
    </row>
    <row r="44" spans="1:32" x14ac:dyDescent="0.25">
      <c r="A44" t="s">
        <v>113</v>
      </c>
      <c r="B44" t="s">
        <v>114</v>
      </c>
      <c r="C44" s="13">
        <v>5</v>
      </c>
      <c r="D44" t="str">
        <f t="shared" si="4"/>
        <v>May</v>
      </c>
      <c r="E44">
        <v>2025</v>
      </c>
      <c r="F44" s="3">
        <v>2854.98</v>
      </c>
      <c r="G44" s="3">
        <v>0</v>
      </c>
      <c r="H44" s="3">
        <v>0</v>
      </c>
      <c r="I44" s="3">
        <v>0</v>
      </c>
      <c r="J44" s="5">
        <v>0</v>
      </c>
      <c r="K44" s="5">
        <v>0</v>
      </c>
      <c r="L44" s="5">
        <v>180</v>
      </c>
      <c r="M44" s="5">
        <v>0</v>
      </c>
      <c r="N44" s="8">
        <v>100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10">
        <v>0</v>
      </c>
      <c r="Y44" s="10">
        <v>0</v>
      </c>
      <c r="Z44" s="3">
        <f>SUM(F44:I44)</f>
        <v>2854.98</v>
      </c>
      <c r="AA44" s="5">
        <f>SUM(J44:M44)</f>
        <v>180</v>
      </c>
      <c r="AB44">
        <f t="shared" si="1"/>
        <v>2674.98</v>
      </c>
      <c r="AC44" s="8">
        <f>SUM(N44:W44)</f>
        <v>100</v>
      </c>
      <c r="AD44">
        <f t="shared" si="2"/>
        <v>2574.98</v>
      </c>
      <c r="AE44" s="10">
        <f>SUM(X44:Y44)</f>
        <v>0</v>
      </c>
      <c r="AF44">
        <f t="shared" si="3"/>
        <v>2574.98</v>
      </c>
    </row>
    <row r="45" spans="1:32" x14ac:dyDescent="0.25">
      <c r="A45" t="s">
        <v>115</v>
      </c>
      <c r="B45" t="s">
        <v>116</v>
      </c>
      <c r="C45" s="13">
        <v>5</v>
      </c>
      <c r="D45" t="str">
        <f t="shared" si="4"/>
        <v>May</v>
      </c>
      <c r="E45">
        <v>2025</v>
      </c>
      <c r="F45" s="3">
        <v>749</v>
      </c>
      <c r="G45" s="3">
        <v>0</v>
      </c>
      <c r="H45" s="3">
        <v>0</v>
      </c>
      <c r="I45" s="3">
        <v>0</v>
      </c>
      <c r="J45" s="5">
        <v>0</v>
      </c>
      <c r="K45" s="5">
        <v>0</v>
      </c>
      <c r="L45" s="5">
        <v>412</v>
      </c>
      <c r="M45" s="5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10">
        <v>0</v>
      </c>
      <c r="Y45" s="10">
        <v>0</v>
      </c>
      <c r="Z45" s="3">
        <f>SUM(F45:I45)</f>
        <v>749</v>
      </c>
      <c r="AA45" s="5">
        <f>SUM(J45:M45)</f>
        <v>412</v>
      </c>
      <c r="AB45">
        <f t="shared" si="1"/>
        <v>337</v>
      </c>
      <c r="AC45" s="8">
        <f>SUM(N45:W45)</f>
        <v>0</v>
      </c>
      <c r="AD45">
        <f t="shared" si="2"/>
        <v>337</v>
      </c>
      <c r="AE45" s="10">
        <f>SUM(X45:Y45)</f>
        <v>0</v>
      </c>
      <c r="AF45">
        <f t="shared" si="3"/>
        <v>337</v>
      </c>
    </row>
    <row r="46" spans="1:32" x14ac:dyDescent="0.25">
      <c r="A46" t="s">
        <v>117</v>
      </c>
      <c r="B46" t="s">
        <v>118</v>
      </c>
      <c r="C46" s="13">
        <v>5</v>
      </c>
      <c r="D46" t="str">
        <f t="shared" si="4"/>
        <v>May</v>
      </c>
      <c r="E46">
        <v>2025</v>
      </c>
      <c r="F46" s="3">
        <v>977.83</v>
      </c>
      <c r="G46" s="3">
        <v>0</v>
      </c>
      <c r="H46" s="3">
        <v>0</v>
      </c>
      <c r="I46" s="3">
        <v>0</v>
      </c>
      <c r="J46" s="5">
        <v>0</v>
      </c>
      <c r="K46" s="5">
        <v>0</v>
      </c>
      <c r="L46" s="5">
        <v>318.5</v>
      </c>
      <c r="M46" s="5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10">
        <v>0</v>
      </c>
      <c r="Y46" s="10">
        <v>0</v>
      </c>
      <c r="Z46" s="3">
        <f>SUM(F46:I46)</f>
        <v>977.83</v>
      </c>
      <c r="AA46" s="5">
        <f>SUM(J46:M46)</f>
        <v>318.5</v>
      </c>
      <c r="AB46">
        <f t="shared" si="1"/>
        <v>659.33</v>
      </c>
      <c r="AC46" s="8">
        <f>SUM(N46:W46)</f>
        <v>0</v>
      </c>
      <c r="AD46">
        <f t="shared" si="2"/>
        <v>659.33</v>
      </c>
      <c r="AE46" s="10">
        <f>SUM(X46:Y46)</f>
        <v>0</v>
      </c>
      <c r="AF46">
        <f t="shared" si="3"/>
        <v>659.33</v>
      </c>
    </row>
    <row r="47" spans="1:32" x14ac:dyDescent="0.25">
      <c r="A47" t="s">
        <v>119</v>
      </c>
      <c r="B47" t="s">
        <v>120</v>
      </c>
      <c r="C47" s="13">
        <v>5</v>
      </c>
      <c r="D47" t="str">
        <f t="shared" si="4"/>
        <v>May</v>
      </c>
      <c r="E47">
        <v>2025</v>
      </c>
      <c r="F47" s="3">
        <v>350</v>
      </c>
      <c r="G47" s="3">
        <v>0</v>
      </c>
      <c r="H47" s="3">
        <v>0</v>
      </c>
      <c r="I47" s="3">
        <v>0</v>
      </c>
      <c r="J47" s="5">
        <v>0</v>
      </c>
      <c r="K47" s="5">
        <v>0</v>
      </c>
      <c r="L47" s="5">
        <v>112</v>
      </c>
      <c r="M47" s="5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10">
        <v>0</v>
      </c>
      <c r="Y47" s="10">
        <v>0</v>
      </c>
      <c r="Z47" s="3">
        <f>SUM(F47:I47)</f>
        <v>350</v>
      </c>
      <c r="AA47" s="5">
        <f>SUM(J47:M47)</f>
        <v>112</v>
      </c>
      <c r="AB47">
        <f t="shared" si="1"/>
        <v>238</v>
      </c>
      <c r="AC47" s="8">
        <f>SUM(N47:W47)</f>
        <v>0</v>
      </c>
      <c r="AD47">
        <f t="shared" si="2"/>
        <v>238</v>
      </c>
      <c r="AE47" s="10">
        <f>SUM(X47:Y47)</f>
        <v>0</v>
      </c>
      <c r="AF47">
        <f t="shared" si="3"/>
        <v>238</v>
      </c>
    </row>
    <row r="48" spans="1:32" x14ac:dyDescent="0.25">
      <c r="A48" t="s">
        <v>121</v>
      </c>
      <c r="B48" t="s">
        <v>122</v>
      </c>
      <c r="C48" s="13">
        <v>5</v>
      </c>
      <c r="D48" t="str">
        <f t="shared" si="4"/>
        <v>May</v>
      </c>
      <c r="E48">
        <v>2025</v>
      </c>
      <c r="F48" s="3">
        <v>849</v>
      </c>
      <c r="G48" s="3">
        <v>0</v>
      </c>
      <c r="H48" s="3">
        <v>0</v>
      </c>
      <c r="I48" s="3">
        <v>-424.5</v>
      </c>
      <c r="J48" s="5">
        <v>0</v>
      </c>
      <c r="K48" s="5">
        <v>20</v>
      </c>
      <c r="L48" s="5">
        <v>151</v>
      </c>
      <c r="M48" s="5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10">
        <v>0</v>
      </c>
      <c r="Y48" s="10">
        <v>0</v>
      </c>
      <c r="Z48" s="3">
        <f>SUM(F48:I48)</f>
        <v>424.5</v>
      </c>
      <c r="AA48" s="5">
        <f>SUM(J48:M48)</f>
        <v>171</v>
      </c>
      <c r="AB48">
        <f t="shared" si="1"/>
        <v>253.5</v>
      </c>
      <c r="AC48" s="8">
        <f>SUM(N48:W48)</f>
        <v>0</v>
      </c>
      <c r="AD48">
        <f t="shared" si="2"/>
        <v>253.5</v>
      </c>
      <c r="AE48" s="10">
        <f>SUM(X48:Y48)</f>
        <v>0</v>
      </c>
      <c r="AF48">
        <f t="shared" si="3"/>
        <v>253.5</v>
      </c>
    </row>
    <row r="49" spans="1:32" x14ac:dyDescent="0.25">
      <c r="A49" t="s">
        <v>123</v>
      </c>
      <c r="B49" t="s">
        <v>124</v>
      </c>
      <c r="C49" s="13">
        <v>5</v>
      </c>
      <c r="D49" t="str">
        <f t="shared" si="4"/>
        <v>May</v>
      </c>
      <c r="E49">
        <v>2025</v>
      </c>
      <c r="F49" s="3">
        <v>899</v>
      </c>
      <c r="G49" s="3">
        <v>0</v>
      </c>
      <c r="H49" s="3">
        <v>0</v>
      </c>
      <c r="I49" s="3">
        <v>0</v>
      </c>
      <c r="J49" s="5">
        <v>0</v>
      </c>
      <c r="K49" s="5">
        <v>20</v>
      </c>
      <c r="L49" s="5">
        <v>208</v>
      </c>
      <c r="M49" s="5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10">
        <v>0</v>
      </c>
      <c r="Y49" s="10">
        <v>0</v>
      </c>
      <c r="Z49" s="3">
        <f>SUM(F49:I49)</f>
        <v>899</v>
      </c>
      <c r="AA49" s="5">
        <f>SUM(J49:M49)</f>
        <v>228</v>
      </c>
      <c r="AB49">
        <f t="shared" si="1"/>
        <v>671</v>
      </c>
      <c r="AC49" s="8">
        <f>SUM(N49:W49)</f>
        <v>0</v>
      </c>
      <c r="AD49">
        <f t="shared" si="2"/>
        <v>671</v>
      </c>
      <c r="AE49" s="10">
        <f>SUM(X49:Y49)</f>
        <v>0</v>
      </c>
      <c r="AF49">
        <f t="shared" si="3"/>
        <v>671</v>
      </c>
    </row>
    <row r="50" spans="1:32" x14ac:dyDescent="0.25">
      <c r="A50" t="s">
        <v>125</v>
      </c>
      <c r="B50" t="s">
        <v>126</v>
      </c>
      <c r="C50" s="13">
        <v>5</v>
      </c>
      <c r="D50" t="str">
        <f t="shared" si="4"/>
        <v>May</v>
      </c>
      <c r="E50">
        <v>2025</v>
      </c>
      <c r="F50" s="3">
        <v>1898</v>
      </c>
      <c r="G50" s="3">
        <v>0</v>
      </c>
      <c r="H50" s="3">
        <v>0</v>
      </c>
      <c r="I50" s="3">
        <v>0</v>
      </c>
      <c r="J50" s="5">
        <v>0</v>
      </c>
      <c r="K50" s="5">
        <v>0</v>
      </c>
      <c r="L50" s="5">
        <v>612</v>
      </c>
      <c r="M50" s="5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10">
        <v>0</v>
      </c>
      <c r="Y50" s="10">
        <v>0</v>
      </c>
      <c r="Z50" s="3">
        <f>SUM(F50:I50)</f>
        <v>1898</v>
      </c>
      <c r="AA50" s="5">
        <f>SUM(J50:M50)</f>
        <v>612</v>
      </c>
      <c r="AB50">
        <f t="shared" si="1"/>
        <v>1286</v>
      </c>
      <c r="AC50" s="8">
        <f>SUM(N50:W50)</f>
        <v>0</v>
      </c>
      <c r="AD50">
        <f t="shared" si="2"/>
        <v>1286</v>
      </c>
      <c r="AE50" s="10">
        <f>SUM(X50:Y50)</f>
        <v>0</v>
      </c>
      <c r="AF50">
        <f t="shared" si="3"/>
        <v>1286</v>
      </c>
    </row>
    <row r="51" spans="1:32" x14ac:dyDescent="0.25">
      <c r="A51" t="s">
        <v>127</v>
      </c>
      <c r="B51" t="s">
        <v>128</v>
      </c>
      <c r="C51" s="13">
        <v>5</v>
      </c>
      <c r="D51" t="str">
        <f t="shared" si="4"/>
        <v>May</v>
      </c>
      <c r="E51">
        <v>2025</v>
      </c>
      <c r="F51" s="3">
        <v>1898</v>
      </c>
      <c r="G51" s="3">
        <v>0</v>
      </c>
      <c r="H51" s="3">
        <v>0</v>
      </c>
      <c r="I51" s="3">
        <v>0</v>
      </c>
      <c r="J51" s="5">
        <v>0</v>
      </c>
      <c r="K51" s="5">
        <v>0</v>
      </c>
      <c r="L51" s="5">
        <v>1012</v>
      </c>
      <c r="M51" s="5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10">
        <v>0</v>
      </c>
      <c r="Y51" s="10">
        <v>0</v>
      </c>
      <c r="Z51" s="3">
        <f>SUM(F51:I51)</f>
        <v>1898</v>
      </c>
      <c r="AA51" s="5">
        <f>SUM(J51:M51)</f>
        <v>1012</v>
      </c>
      <c r="AB51">
        <f t="shared" si="1"/>
        <v>886</v>
      </c>
      <c r="AC51" s="8">
        <f>SUM(N51:W51)</f>
        <v>0</v>
      </c>
      <c r="AD51">
        <f t="shared" si="2"/>
        <v>886</v>
      </c>
      <c r="AE51" s="10">
        <f>SUM(X51:Y51)</f>
        <v>0</v>
      </c>
      <c r="AF51">
        <f t="shared" si="3"/>
        <v>886</v>
      </c>
    </row>
    <row r="52" spans="1:32" x14ac:dyDescent="0.25">
      <c r="A52" t="s">
        <v>129</v>
      </c>
      <c r="B52" t="s">
        <v>130</v>
      </c>
      <c r="C52" s="13">
        <v>6</v>
      </c>
      <c r="D52" t="str">
        <f t="shared" si="4"/>
        <v>June</v>
      </c>
      <c r="E52">
        <v>2025</v>
      </c>
      <c r="F52" s="3">
        <v>699</v>
      </c>
      <c r="G52" s="3">
        <v>0</v>
      </c>
      <c r="H52" s="3">
        <v>0</v>
      </c>
      <c r="I52" s="3">
        <v>0</v>
      </c>
      <c r="J52" s="5">
        <v>0</v>
      </c>
      <c r="K52" s="5">
        <v>0</v>
      </c>
      <c r="L52" s="5">
        <v>166</v>
      </c>
      <c r="M52" s="5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10">
        <v>0</v>
      </c>
      <c r="Y52" s="10">
        <v>0</v>
      </c>
      <c r="Z52" s="3">
        <f>SUM(F52:I52)</f>
        <v>699</v>
      </c>
      <c r="AA52" s="5">
        <f>SUM(J52:M52)</f>
        <v>166</v>
      </c>
      <c r="AB52">
        <f t="shared" si="1"/>
        <v>533</v>
      </c>
      <c r="AC52" s="8">
        <f>SUM(N52:W52)</f>
        <v>0</v>
      </c>
      <c r="AD52">
        <f t="shared" si="2"/>
        <v>533</v>
      </c>
      <c r="AE52" s="10">
        <f>SUM(X52:Y52)</f>
        <v>0</v>
      </c>
      <c r="AF52">
        <f t="shared" si="3"/>
        <v>533</v>
      </c>
    </row>
    <row r="53" spans="1:32" x14ac:dyDescent="0.25">
      <c r="A53" t="s">
        <v>131</v>
      </c>
      <c r="B53" t="s">
        <v>132</v>
      </c>
      <c r="C53" s="13">
        <v>6</v>
      </c>
      <c r="D53" t="str">
        <f t="shared" si="4"/>
        <v>June</v>
      </c>
      <c r="E53">
        <v>2025</v>
      </c>
      <c r="F53" s="3">
        <v>2157.3000000000002</v>
      </c>
      <c r="G53" s="3">
        <v>0</v>
      </c>
      <c r="H53" s="3">
        <v>0</v>
      </c>
      <c r="I53" s="3">
        <v>0</v>
      </c>
      <c r="J53" s="5">
        <v>0</v>
      </c>
      <c r="K53" s="5">
        <v>0</v>
      </c>
      <c r="L53" s="5">
        <v>652</v>
      </c>
      <c r="M53" s="5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10">
        <v>0</v>
      </c>
      <c r="Y53" s="10">
        <v>0</v>
      </c>
      <c r="Z53" s="3">
        <f>SUM(F53:I53)</f>
        <v>2157.3000000000002</v>
      </c>
      <c r="AA53" s="5">
        <f>SUM(J53:M53)</f>
        <v>652</v>
      </c>
      <c r="AB53">
        <f t="shared" si="1"/>
        <v>1505.3000000000002</v>
      </c>
      <c r="AC53" s="8">
        <f>SUM(N53:W53)</f>
        <v>0</v>
      </c>
      <c r="AD53">
        <f t="shared" si="2"/>
        <v>1505.3000000000002</v>
      </c>
      <c r="AE53" s="10">
        <f>SUM(X53:Y53)</f>
        <v>0</v>
      </c>
      <c r="AF53">
        <f t="shared" si="3"/>
        <v>1505.3000000000002</v>
      </c>
    </row>
    <row r="54" spans="1:32" x14ac:dyDescent="0.25">
      <c r="A54" t="s">
        <v>133</v>
      </c>
      <c r="B54" t="s">
        <v>134</v>
      </c>
      <c r="C54" s="13">
        <v>6</v>
      </c>
      <c r="D54" t="str">
        <f t="shared" si="4"/>
        <v>June</v>
      </c>
      <c r="E54">
        <v>2025</v>
      </c>
      <c r="F54" s="3">
        <v>799</v>
      </c>
      <c r="G54" s="3">
        <v>0</v>
      </c>
      <c r="H54" s="3">
        <v>0</v>
      </c>
      <c r="I54" s="3">
        <v>0</v>
      </c>
      <c r="J54" s="5">
        <v>0</v>
      </c>
      <c r="K54" s="5">
        <v>0</v>
      </c>
      <c r="L54" s="5">
        <v>199</v>
      </c>
      <c r="M54" s="5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10">
        <v>0</v>
      </c>
      <c r="Y54" s="10">
        <v>0</v>
      </c>
      <c r="Z54" s="3">
        <f>SUM(F54:I54)</f>
        <v>799</v>
      </c>
      <c r="AA54" s="5">
        <f>SUM(J54:M54)</f>
        <v>199</v>
      </c>
      <c r="AB54">
        <f t="shared" si="1"/>
        <v>600</v>
      </c>
      <c r="AC54" s="8">
        <f>SUM(N54:W54)</f>
        <v>0</v>
      </c>
      <c r="AD54">
        <f t="shared" si="2"/>
        <v>600</v>
      </c>
      <c r="AE54" s="10">
        <f>SUM(X54:Y54)</f>
        <v>0</v>
      </c>
      <c r="AF54">
        <f t="shared" si="3"/>
        <v>600</v>
      </c>
    </row>
    <row r="55" spans="1:32" x14ac:dyDescent="0.25">
      <c r="A55" t="s">
        <v>135</v>
      </c>
      <c r="B55" t="s">
        <v>136</v>
      </c>
      <c r="C55" s="13">
        <v>6</v>
      </c>
      <c r="D55" t="str">
        <f t="shared" si="4"/>
        <v>June</v>
      </c>
      <c r="E55">
        <v>2025</v>
      </c>
      <c r="F55" s="3">
        <v>2393.17</v>
      </c>
      <c r="G55" s="3">
        <v>0</v>
      </c>
      <c r="H55" s="3">
        <v>0</v>
      </c>
      <c r="I55" s="3">
        <v>0</v>
      </c>
      <c r="J55" s="5">
        <v>0</v>
      </c>
      <c r="K55" s="5">
        <v>0</v>
      </c>
      <c r="L55" s="5">
        <v>176</v>
      </c>
      <c r="M55" s="5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10">
        <v>0</v>
      </c>
      <c r="Y55" s="10">
        <v>0</v>
      </c>
      <c r="Z55" s="3">
        <f>SUM(F55:I55)</f>
        <v>2393.17</v>
      </c>
      <c r="AA55" s="5">
        <f>SUM(J55:M55)</f>
        <v>176</v>
      </c>
      <c r="AB55">
        <f t="shared" si="1"/>
        <v>2217.17</v>
      </c>
      <c r="AC55" s="8">
        <f>SUM(N55:W55)</f>
        <v>0</v>
      </c>
      <c r="AD55">
        <f t="shared" si="2"/>
        <v>2217.17</v>
      </c>
      <c r="AE55" s="10">
        <f>SUM(X55:Y55)</f>
        <v>0</v>
      </c>
      <c r="AF55">
        <f t="shared" si="3"/>
        <v>2217.17</v>
      </c>
    </row>
    <row r="56" spans="1:32" x14ac:dyDescent="0.25">
      <c r="A56" t="s">
        <v>137</v>
      </c>
      <c r="B56" t="s">
        <v>138</v>
      </c>
      <c r="C56" s="13">
        <v>6</v>
      </c>
      <c r="D56" t="str">
        <f t="shared" si="4"/>
        <v>June</v>
      </c>
      <c r="E56">
        <v>2025</v>
      </c>
      <c r="F56" s="3">
        <v>3098</v>
      </c>
      <c r="G56" s="3">
        <v>0</v>
      </c>
      <c r="H56" s="3">
        <v>0</v>
      </c>
      <c r="I56" s="3">
        <v>0</v>
      </c>
      <c r="J56" s="5">
        <v>801.9</v>
      </c>
      <c r="K56" s="5">
        <v>0</v>
      </c>
      <c r="L56" s="5">
        <v>513</v>
      </c>
      <c r="M56" s="5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10">
        <v>0</v>
      </c>
      <c r="Y56" s="10">
        <v>0</v>
      </c>
      <c r="Z56" s="3">
        <f>SUM(F56:I56)</f>
        <v>3098</v>
      </c>
      <c r="AA56" s="5">
        <f>SUM(J56:M56)</f>
        <v>1314.9</v>
      </c>
      <c r="AB56">
        <f t="shared" si="1"/>
        <v>1783.1</v>
      </c>
      <c r="AC56" s="8">
        <f>SUM(N56:W56)</f>
        <v>0</v>
      </c>
      <c r="AD56">
        <f t="shared" si="2"/>
        <v>1783.1</v>
      </c>
      <c r="AE56" s="10">
        <f>SUM(X56:Y56)</f>
        <v>0</v>
      </c>
      <c r="AF56">
        <f t="shared" si="3"/>
        <v>1783.1</v>
      </c>
    </row>
    <row r="57" spans="1:32" x14ac:dyDescent="0.25">
      <c r="A57" t="s">
        <v>139</v>
      </c>
      <c r="B57" t="s">
        <v>140</v>
      </c>
      <c r="C57" s="13">
        <v>7</v>
      </c>
      <c r="D57" t="str">
        <f t="shared" si="4"/>
        <v>July</v>
      </c>
      <c r="E57">
        <v>2025</v>
      </c>
      <c r="F57" s="3">
        <v>499</v>
      </c>
      <c r="G57" s="3">
        <v>0</v>
      </c>
      <c r="H57" s="3">
        <v>0</v>
      </c>
      <c r="I57" s="3">
        <v>0</v>
      </c>
      <c r="J57" s="5">
        <v>0</v>
      </c>
      <c r="K57" s="5">
        <v>0</v>
      </c>
      <c r="L57" s="5">
        <v>112</v>
      </c>
      <c r="M57" s="5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10">
        <v>0</v>
      </c>
      <c r="Y57" s="10">
        <v>0</v>
      </c>
      <c r="Z57" s="3">
        <f>SUM(F57:I57)</f>
        <v>499</v>
      </c>
      <c r="AA57" s="5">
        <f>SUM(J57:M57)</f>
        <v>112</v>
      </c>
      <c r="AB57">
        <f t="shared" si="1"/>
        <v>387</v>
      </c>
      <c r="AC57" s="8">
        <f>SUM(N57:W57)</f>
        <v>0</v>
      </c>
      <c r="AD57">
        <f t="shared" si="2"/>
        <v>387</v>
      </c>
      <c r="AE57" s="10">
        <f>SUM(X57:Y57)</f>
        <v>0</v>
      </c>
      <c r="AF57">
        <f t="shared" si="3"/>
        <v>387</v>
      </c>
    </row>
    <row r="58" spans="1:32" x14ac:dyDescent="0.25">
      <c r="A58" t="s">
        <v>141</v>
      </c>
      <c r="B58" t="s">
        <v>142</v>
      </c>
      <c r="C58" s="13">
        <v>7</v>
      </c>
      <c r="D58" t="str">
        <f t="shared" si="4"/>
        <v>July</v>
      </c>
      <c r="E58">
        <v>2025</v>
      </c>
      <c r="F58" s="3">
        <v>8670.16</v>
      </c>
      <c r="G58" s="3">
        <v>0</v>
      </c>
      <c r="H58" s="3">
        <v>0</v>
      </c>
      <c r="I58" s="3">
        <v>0</v>
      </c>
      <c r="J58" s="5">
        <v>300</v>
      </c>
      <c r="K58" s="5">
        <v>0</v>
      </c>
      <c r="L58" s="5">
        <v>612</v>
      </c>
      <c r="M58" s="5">
        <v>220</v>
      </c>
      <c r="N58" s="8">
        <v>0</v>
      </c>
      <c r="O58" s="8">
        <v>350</v>
      </c>
      <c r="P58" s="8">
        <v>0</v>
      </c>
      <c r="Q58" s="8">
        <v>295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10">
        <v>0</v>
      </c>
      <c r="Y58" s="10">
        <v>0</v>
      </c>
      <c r="Z58" s="3">
        <f>SUM(F58:I58)</f>
        <v>8670.16</v>
      </c>
      <c r="AA58" s="5">
        <f>SUM(J58:M58)</f>
        <v>1132</v>
      </c>
      <c r="AB58">
        <f t="shared" si="1"/>
        <v>7538.16</v>
      </c>
      <c r="AC58" s="8">
        <f>SUM(N58:W58)</f>
        <v>645</v>
      </c>
      <c r="AD58">
        <f t="shared" si="2"/>
        <v>6893.16</v>
      </c>
      <c r="AE58" s="10">
        <f>SUM(X58:Y58)</f>
        <v>0</v>
      </c>
      <c r="AF58">
        <f t="shared" si="3"/>
        <v>6893.16</v>
      </c>
    </row>
    <row r="59" spans="1:32" x14ac:dyDescent="0.25">
      <c r="A59" t="s">
        <v>143</v>
      </c>
      <c r="B59" t="s">
        <v>144</v>
      </c>
      <c r="C59" s="13">
        <v>8</v>
      </c>
      <c r="D59" t="str">
        <f t="shared" si="4"/>
        <v>August</v>
      </c>
      <c r="E59">
        <v>2025</v>
      </c>
      <c r="F59" s="3">
        <v>1396.42</v>
      </c>
      <c r="G59" s="3">
        <v>0</v>
      </c>
      <c r="H59" s="3">
        <v>0</v>
      </c>
      <c r="I59" s="3">
        <v>0</v>
      </c>
      <c r="J59" s="5">
        <v>0</v>
      </c>
      <c r="K59" s="5">
        <v>0</v>
      </c>
      <c r="L59" s="5">
        <v>218</v>
      </c>
      <c r="M59" s="5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10">
        <v>0</v>
      </c>
      <c r="Y59" s="10">
        <v>0</v>
      </c>
      <c r="Z59" s="3">
        <f>SUM(F59:I59)</f>
        <v>1396.42</v>
      </c>
      <c r="AA59" s="5">
        <f>SUM(J59:M59)</f>
        <v>218</v>
      </c>
      <c r="AB59">
        <f t="shared" si="1"/>
        <v>1178.42</v>
      </c>
      <c r="AC59" s="8">
        <f>SUM(N59:W59)</f>
        <v>0</v>
      </c>
      <c r="AD59">
        <f t="shared" si="2"/>
        <v>1178.42</v>
      </c>
      <c r="AE59" s="10">
        <f>SUM(X59:Y59)</f>
        <v>0</v>
      </c>
      <c r="AF59">
        <f t="shared" si="3"/>
        <v>1178.42</v>
      </c>
    </row>
    <row r="60" spans="1:32" x14ac:dyDescent="0.25">
      <c r="A60" t="s">
        <v>145</v>
      </c>
      <c r="B60" t="s">
        <v>146</v>
      </c>
      <c r="C60" s="13">
        <v>8</v>
      </c>
      <c r="D60" t="str">
        <f t="shared" si="4"/>
        <v>August</v>
      </c>
      <c r="E60">
        <v>2025</v>
      </c>
      <c r="F60" s="3">
        <v>0</v>
      </c>
      <c r="G60" s="3">
        <v>0</v>
      </c>
      <c r="H60" s="3">
        <v>0</v>
      </c>
      <c r="I60" s="3">
        <v>0</v>
      </c>
      <c r="J60" s="5">
        <v>0</v>
      </c>
      <c r="K60" s="5">
        <v>0</v>
      </c>
      <c r="L60" s="5">
        <v>151</v>
      </c>
      <c r="M60" s="5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10">
        <v>0</v>
      </c>
      <c r="Y60" s="10">
        <v>0</v>
      </c>
      <c r="Z60" s="3">
        <f>SUM(F60:I60)</f>
        <v>0</v>
      </c>
      <c r="AA60" s="5">
        <f>SUM(J60:M60)</f>
        <v>151</v>
      </c>
      <c r="AB60">
        <f t="shared" si="1"/>
        <v>-151</v>
      </c>
      <c r="AC60" s="8">
        <f>SUM(N60:W60)</f>
        <v>0</v>
      </c>
      <c r="AD60">
        <f t="shared" si="2"/>
        <v>-151</v>
      </c>
      <c r="AE60" s="10">
        <f>SUM(X60:Y60)</f>
        <v>0</v>
      </c>
      <c r="AF60">
        <f t="shared" si="3"/>
        <v>-151</v>
      </c>
    </row>
    <row r="61" spans="1:32" x14ac:dyDescent="0.25">
      <c r="A61" t="s">
        <v>147</v>
      </c>
      <c r="B61" t="s">
        <v>148</v>
      </c>
      <c r="C61" s="13">
        <v>8</v>
      </c>
      <c r="D61" t="str">
        <f t="shared" si="4"/>
        <v>August</v>
      </c>
      <c r="E61">
        <v>2025</v>
      </c>
      <c r="F61" s="3">
        <v>747.93</v>
      </c>
      <c r="G61" s="3">
        <v>0</v>
      </c>
      <c r="H61" s="3">
        <v>0</v>
      </c>
      <c r="I61" s="3">
        <v>0</v>
      </c>
      <c r="J61" s="5">
        <v>0</v>
      </c>
      <c r="K61" s="5">
        <v>0</v>
      </c>
      <c r="L61" s="5">
        <v>157</v>
      </c>
      <c r="M61" s="5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10">
        <v>0</v>
      </c>
      <c r="Y61" s="10">
        <v>0</v>
      </c>
      <c r="Z61" s="3">
        <f>SUM(F61:I61)</f>
        <v>747.93</v>
      </c>
      <c r="AA61" s="5">
        <f>SUM(J61:M61)</f>
        <v>157</v>
      </c>
      <c r="AB61">
        <f t="shared" si="1"/>
        <v>590.92999999999995</v>
      </c>
      <c r="AC61" s="8">
        <f>SUM(N61:W61)</f>
        <v>0</v>
      </c>
      <c r="AD61">
        <f t="shared" si="2"/>
        <v>590.92999999999995</v>
      </c>
      <c r="AE61" s="10">
        <f>SUM(X61:Y61)</f>
        <v>0</v>
      </c>
      <c r="AF61">
        <f t="shared" si="3"/>
        <v>590.92999999999995</v>
      </c>
    </row>
    <row r="62" spans="1:32" x14ac:dyDescent="0.25">
      <c r="A62" t="s">
        <v>149</v>
      </c>
      <c r="B62" t="s">
        <v>150</v>
      </c>
      <c r="C62" s="13">
        <v>8</v>
      </c>
      <c r="D62" t="str">
        <f t="shared" si="4"/>
        <v>August</v>
      </c>
      <c r="E62">
        <v>2025</v>
      </c>
      <c r="F62" s="3">
        <v>2461</v>
      </c>
      <c r="G62" s="3">
        <v>0</v>
      </c>
      <c r="H62" s="3">
        <v>0</v>
      </c>
      <c r="I62" s="3">
        <v>0</v>
      </c>
      <c r="J62" s="5">
        <v>341.24</v>
      </c>
      <c r="K62" s="5">
        <v>0</v>
      </c>
      <c r="L62" s="5">
        <v>662</v>
      </c>
      <c r="M62" s="5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10">
        <v>0</v>
      </c>
      <c r="Y62" s="10">
        <v>0</v>
      </c>
      <c r="Z62" s="3">
        <f>SUM(F62:I62)</f>
        <v>2461</v>
      </c>
      <c r="AA62" s="5">
        <f>SUM(J62:M62)</f>
        <v>1003.24</v>
      </c>
      <c r="AB62">
        <f t="shared" si="1"/>
        <v>1457.76</v>
      </c>
      <c r="AC62" s="8">
        <f>SUM(N62:W62)</f>
        <v>0</v>
      </c>
      <c r="AD62">
        <f t="shared" si="2"/>
        <v>1457.76</v>
      </c>
      <c r="AE62" s="10">
        <f>SUM(X62:Y62)</f>
        <v>0</v>
      </c>
      <c r="AF62">
        <f t="shared" si="3"/>
        <v>1457.76</v>
      </c>
    </row>
    <row r="63" spans="1:32" x14ac:dyDescent="0.25">
      <c r="A63" t="s">
        <v>151</v>
      </c>
      <c r="B63" t="s">
        <v>152</v>
      </c>
      <c r="C63" s="13">
        <v>8</v>
      </c>
      <c r="D63" t="str">
        <f t="shared" si="4"/>
        <v>August</v>
      </c>
      <c r="E63">
        <v>2025</v>
      </c>
      <c r="F63" s="3">
        <v>899</v>
      </c>
      <c r="G63" s="3">
        <v>0</v>
      </c>
      <c r="H63" s="3">
        <v>0</v>
      </c>
      <c r="I63" s="3">
        <v>0</v>
      </c>
      <c r="J63" s="5">
        <v>0</v>
      </c>
      <c r="K63" s="5">
        <v>0</v>
      </c>
      <c r="L63" s="5">
        <v>412</v>
      </c>
      <c r="M63" s="5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10">
        <v>0</v>
      </c>
      <c r="Y63" s="10">
        <v>0</v>
      </c>
      <c r="Z63" s="3">
        <f>SUM(F63:I63)</f>
        <v>899</v>
      </c>
      <c r="AA63" s="5">
        <f>SUM(J63:M63)</f>
        <v>412</v>
      </c>
      <c r="AB63">
        <f t="shared" si="1"/>
        <v>487</v>
      </c>
      <c r="AC63" s="8">
        <f>SUM(N63:W63)</f>
        <v>0</v>
      </c>
      <c r="AD63">
        <f t="shared" si="2"/>
        <v>487</v>
      </c>
      <c r="AE63" s="10">
        <f>SUM(X63:Y63)</f>
        <v>0</v>
      </c>
      <c r="AF63">
        <f t="shared" si="3"/>
        <v>487</v>
      </c>
    </row>
    <row r="64" spans="1:32" x14ac:dyDescent="0.25">
      <c r="A64" t="s">
        <v>153</v>
      </c>
      <c r="B64" t="s">
        <v>154</v>
      </c>
      <c r="C64" s="13">
        <v>8</v>
      </c>
      <c r="D64" t="str">
        <f t="shared" si="4"/>
        <v>August</v>
      </c>
      <c r="E64">
        <v>2025</v>
      </c>
      <c r="F64" s="3">
        <v>600</v>
      </c>
      <c r="G64" s="3">
        <v>0</v>
      </c>
      <c r="H64" s="3">
        <v>0</v>
      </c>
      <c r="I64" s="3">
        <v>0</v>
      </c>
      <c r="J64" s="5">
        <v>0</v>
      </c>
      <c r="K64" s="5">
        <v>0</v>
      </c>
      <c r="L64" s="5">
        <v>166</v>
      </c>
      <c r="M64" s="5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10">
        <v>0</v>
      </c>
      <c r="Y64" s="10">
        <v>0</v>
      </c>
      <c r="Z64" s="3">
        <f>SUM(F64:I64)</f>
        <v>600</v>
      </c>
      <c r="AA64" s="5">
        <f>SUM(J64:M64)</f>
        <v>166</v>
      </c>
      <c r="AB64">
        <f t="shared" si="1"/>
        <v>434</v>
      </c>
      <c r="AC64" s="8">
        <f>SUM(N64:W64)</f>
        <v>0</v>
      </c>
      <c r="AD64">
        <f t="shared" si="2"/>
        <v>434</v>
      </c>
      <c r="AE64" s="10">
        <f>SUM(X64:Y64)</f>
        <v>0</v>
      </c>
      <c r="AF64">
        <f t="shared" si="3"/>
        <v>434</v>
      </c>
    </row>
    <row r="65" spans="1:32" x14ac:dyDescent="0.25">
      <c r="A65" t="s">
        <v>155</v>
      </c>
      <c r="B65" t="s">
        <v>156</v>
      </c>
      <c r="C65" s="13">
        <v>8</v>
      </c>
      <c r="D65" t="str">
        <f t="shared" si="4"/>
        <v>August</v>
      </c>
      <c r="E65">
        <v>2025</v>
      </c>
      <c r="F65" s="3">
        <v>2844</v>
      </c>
      <c r="G65" s="3">
        <v>0</v>
      </c>
      <c r="H65" s="3">
        <v>0</v>
      </c>
      <c r="I65" s="3">
        <v>0</v>
      </c>
      <c r="J65" s="5">
        <v>0</v>
      </c>
      <c r="K65" s="5">
        <v>0</v>
      </c>
      <c r="L65" s="5">
        <v>716</v>
      </c>
      <c r="M65" s="5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10">
        <v>0</v>
      </c>
      <c r="Y65" s="10">
        <v>0</v>
      </c>
      <c r="Z65" s="3">
        <f>SUM(F65:I65)</f>
        <v>2844</v>
      </c>
      <c r="AA65" s="5">
        <f>SUM(J65:M65)</f>
        <v>716</v>
      </c>
      <c r="AB65">
        <f t="shared" si="1"/>
        <v>2128</v>
      </c>
      <c r="AC65" s="8">
        <f>SUM(N65:W65)</f>
        <v>0</v>
      </c>
      <c r="AD65">
        <f t="shared" si="2"/>
        <v>2128</v>
      </c>
      <c r="AE65" s="10">
        <f>SUM(X65:Y65)</f>
        <v>0</v>
      </c>
      <c r="AF65">
        <f t="shared" si="3"/>
        <v>2128</v>
      </c>
    </row>
    <row r="66" spans="1:32" x14ac:dyDescent="0.25">
      <c r="A66" t="s">
        <v>157</v>
      </c>
      <c r="B66" t="s">
        <v>158</v>
      </c>
      <c r="C66" s="13">
        <v>9</v>
      </c>
      <c r="D66" t="str">
        <f t="shared" si="4"/>
        <v>September</v>
      </c>
      <c r="E66">
        <v>2025</v>
      </c>
      <c r="F66" s="3">
        <v>500</v>
      </c>
      <c r="G66" s="3">
        <v>0</v>
      </c>
      <c r="H66" s="3">
        <v>0</v>
      </c>
      <c r="I66" s="3">
        <v>0</v>
      </c>
      <c r="J66" s="5">
        <v>0</v>
      </c>
      <c r="K66" s="5">
        <v>0</v>
      </c>
      <c r="L66" s="5">
        <v>12</v>
      </c>
      <c r="M66" s="5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10">
        <v>0</v>
      </c>
      <c r="Y66" s="10">
        <v>0</v>
      </c>
      <c r="Z66" s="3">
        <f>SUM(F66:I66)</f>
        <v>500</v>
      </c>
      <c r="AA66" s="5">
        <f>SUM(J66:M66)</f>
        <v>12</v>
      </c>
      <c r="AB66">
        <f t="shared" si="1"/>
        <v>488</v>
      </c>
      <c r="AC66" s="8">
        <f>SUM(N66:W66)</f>
        <v>0</v>
      </c>
      <c r="AD66">
        <f t="shared" si="2"/>
        <v>488</v>
      </c>
      <c r="AE66" s="10">
        <f>SUM(X66:Y66)</f>
        <v>0</v>
      </c>
      <c r="AF66">
        <f t="shared" si="3"/>
        <v>488</v>
      </c>
    </row>
    <row r="67" spans="1:32" x14ac:dyDescent="0.25">
      <c r="A67" t="s">
        <v>159</v>
      </c>
      <c r="B67" t="s">
        <v>160</v>
      </c>
      <c r="C67" s="13">
        <v>9</v>
      </c>
      <c r="D67" t="str">
        <f t="shared" si="4"/>
        <v>September</v>
      </c>
      <c r="E67">
        <v>2025</v>
      </c>
      <c r="F67" s="3">
        <v>1399</v>
      </c>
      <c r="G67" s="3">
        <v>0</v>
      </c>
      <c r="H67" s="3">
        <v>0</v>
      </c>
      <c r="I67" s="3">
        <v>0</v>
      </c>
      <c r="J67" s="5">
        <v>0</v>
      </c>
      <c r="K67" s="5">
        <v>0</v>
      </c>
      <c r="L67" s="5">
        <v>227</v>
      </c>
      <c r="M67" s="5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10">
        <v>0</v>
      </c>
      <c r="Y67" s="10">
        <v>0</v>
      </c>
      <c r="Z67" s="3">
        <f>SUM(F67:I67)</f>
        <v>1399</v>
      </c>
      <c r="AA67" s="5">
        <f>SUM(J67:M67)</f>
        <v>227</v>
      </c>
      <c r="AB67">
        <f t="shared" ref="AB67:AB108" si="5">Z67-AA67</f>
        <v>1172</v>
      </c>
      <c r="AC67" s="8">
        <f>SUM(N67:W67)</f>
        <v>0</v>
      </c>
      <c r="AD67">
        <f t="shared" ref="AD67:AD108" si="6">AB67-AC67</f>
        <v>1172</v>
      </c>
      <c r="AE67" s="10">
        <f>SUM(X67:Y67)</f>
        <v>0</v>
      </c>
      <c r="AF67">
        <f t="shared" ref="AF67:AF108" si="7">AD67-AE67</f>
        <v>1172</v>
      </c>
    </row>
    <row r="68" spans="1:32" x14ac:dyDescent="0.25">
      <c r="A68" t="s">
        <v>161</v>
      </c>
      <c r="B68" t="s">
        <v>162</v>
      </c>
      <c r="C68" s="13">
        <v>9</v>
      </c>
      <c r="D68" t="str">
        <f t="shared" si="4"/>
        <v>September</v>
      </c>
      <c r="E68">
        <v>2025</v>
      </c>
      <c r="F68" s="3">
        <v>13070.75</v>
      </c>
      <c r="G68" s="3">
        <v>0</v>
      </c>
      <c r="H68" s="3">
        <v>0</v>
      </c>
      <c r="I68" s="3">
        <v>0</v>
      </c>
      <c r="J68" s="5">
        <v>768.66</v>
      </c>
      <c r="K68" s="5">
        <v>0</v>
      </c>
      <c r="L68" s="5">
        <v>590</v>
      </c>
      <c r="M68" s="5">
        <v>300</v>
      </c>
      <c r="N68" s="8">
        <v>1249.23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300</v>
      </c>
      <c r="U68" s="8">
        <v>0</v>
      </c>
      <c r="V68" s="8">
        <v>0</v>
      </c>
      <c r="W68" s="8">
        <v>0</v>
      </c>
      <c r="X68" s="10">
        <v>0</v>
      </c>
      <c r="Y68" s="10">
        <v>0</v>
      </c>
      <c r="Z68" s="3">
        <f>SUM(F68:I68)</f>
        <v>13070.75</v>
      </c>
      <c r="AA68" s="5">
        <f>SUM(J68:M68)</f>
        <v>1658.6599999999999</v>
      </c>
      <c r="AB68">
        <f t="shared" si="5"/>
        <v>11412.09</v>
      </c>
      <c r="AC68" s="8">
        <f>SUM(N68:W68)</f>
        <v>1549.23</v>
      </c>
      <c r="AD68">
        <f t="shared" si="6"/>
        <v>9862.86</v>
      </c>
      <c r="AE68" s="10">
        <f>SUM(X68:Y68)</f>
        <v>0</v>
      </c>
      <c r="AF68">
        <f t="shared" si="7"/>
        <v>9862.86</v>
      </c>
    </row>
    <row r="69" spans="1:32" x14ac:dyDescent="0.25">
      <c r="A69" t="s">
        <v>163</v>
      </c>
      <c r="B69" t="s">
        <v>164</v>
      </c>
      <c r="C69" s="13">
        <v>9</v>
      </c>
      <c r="D69" t="str">
        <f t="shared" si="4"/>
        <v>September</v>
      </c>
      <c r="E69">
        <v>2025</v>
      </c>
      <c r="F69" s="3">
        <v>428.28</v>
      </c>
      <c r="G69" s="3">
        <v>0</v>
      </c>
      <c r="H69" s="3">
        <v>0</v>
      </c>
      <c r="I69" s="3">
        <v>0</v>
      </c>
      <c r="J69" s="5">
        <v>0</v>
      </c>
      <c r="K69" s="5">
        <v>0</v>
      </c>
      <c r="L69" s="5">
        <v>112</v>
      </c>
      <c r="M69" s="5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10">
        <v>0</v>
      </c>
      <c r="Y69" s="10">
        <v>0</v>
      </c>
      <c r="Z69" s="3">
        <f>SUM(F69:I69)</f>
        <v>428.28</v>
      </c>
      <c r="AA69" s="5">
        <f>SUM(J69:M69)</f>
        <v>112</v>
      </c>
      <c r="AB69">
        <f t="shared" si="5"/>
        <v>316.27999999999997</v>
      </c>
      <c r="AC69" s="8">
        <f>SUM(N69:W69)</f>
        <v>0</v>
      </c>
      <c r="AD69">
        <f t="shared" si="6"/>
        <v>316.27999999999997</v>
      </c>
      <c r="AE69" s="10">
        <f>SUM(X69:Y69)</f>
        <v>0</v>
      </c>
      <c r="AF69">
        <f t="shared" si="7"/>
        <v>316.27999999999997</v>
      </c>
    </row>
    <row r="70" spans="1:32" x14ac:dyDescent="0.25">
      <c r="A70" t="s">
        <v>165</v>
      </c>
      <c r="B70" t="s">
        <v>166</v>
      </c>
      <c r="C70" s="13">
        <v>9</v>
      </c>
      <c r="D70" t="str">
        <f t="shared" si="4"/>
        <v>September</v>
      </c>
      <c r="E70">
        <v>2025</v>
      </c>
      <c r="F70" s="3">
        <v>876.1</v>
      </c>
      <c r="G70" s="3">
        <v>0</v>
      </c>
      <c r="H70" s="3">
        <v>0</v>
      </c>
      <c r="I70" s="3">
        <v>0</v>
      </c>
      <c r="J70" s="5">
        <v>0</v>
      </c>
      <c r="K70" s="5">
        <v>0</v>
      </c>
      <c r="L70" s="5">
        <v>169</v>
      </c>
      <c r="M70" s="5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10">
        <v>0</v>
      </c>
      <c r="Y70" s="10">
        <v>0</v>
      </c>
      <c r="Z70" s="3">
        <f>SUM(F70:I70)</f>
        <v>876.1</v>
      </c>
      <c r="AA70" s="5">
        <f>SUM(J70:M70)</f>
        <v>169</v>
      </c>
      <c r="AB70">
        <f t="shared" si="5"/>
        <v>707.1</v>
      </c>
      <c r="AC70" s="8">
        <f>SUM(N70:W70)</f>
        <v>0</v>
      </c>
      <c r="AD70">
        <f t="shared" si="6"/>
        <v>707.1</v>
      </c>
      <c r="AE70" s="10">
        <f>SUM(X70:Y70)</f>
        <v>0</v>
      </c>
      <c r="AF70">
        <f t="shared" si="7"/>
        <v>707.1</v>
      </c>
    </row>
    <row r="71" spans="1:32" x14ac:dyDescent="0.25">
      <c r="A71" t="s">
        <v>167</v>
      </c>
      <c r="B71" t="s">
        <v>168</v>
      </c>
      <c r="C71" s="13">
        <v>9</v>
      </c>
      <c r="D71" t="str">
        <f t="shared" si="4"/>
        <v>September</v>
      </c>
      <c r="E71">
        <v>2025</v>
      </c>
      <c r="F71" s="3">
        <v>11235</v>
      </c>
      <c r="G71" s="3">
        <v>0</v>
      </c>
      <c r="H71" s="3">
        <v>0</v>
      </c>
      <c r="I71" s="3">
        <v>0</v>
      </c>
      <c r="J71" s="5">
        <v>165.85</v>
      </c>
      <c r="K71" s="5">
        <v>0</v>
      </c>
      <c r="L71" s="5">
        <v>955.85</v>
      </c>
      <c r="M71" s="5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10">
        <v>0</v>
      </c>
      <c r="Y71" s="10">
        <v>0</v>
      </c>
      <c r="Z71" s="3">
        <f>SUM(F71:I71)</f>
        <v>11235</v>
      </c>
      <c r="AA71" s="5">
        <f>SUM(J71:M71)</f>
        <v>1121.7</v>
      </c>
      <c r="AB71">
        <f t="shared" si="5"/>
        <v>10113.299999999999</v>
      </c>
      <c r="AC71" s="8">
        <f>SUM(N71:W71)</f>
        <v>0</v>
      </c>
      <c r="AD71">
        <f t="shared" si="6"/>
        <v>10113.299999999999</v>
      </c>
      <c r="AE71" s="10">
        <f>SUM(X71:Y71)</f>
        <v>0</v>
      </c>
      <c r="AF71">
        <f t="shared" si="7"/>
        <v>10113.299999999999</v>
      </c>
    </row>
    <row r="72" spans="1:32" x14ac:dyDescent="0.25">
      <c r="A72" t="s">
        <v>169</v>
      </c>
      <c r="B72" t="s">
        <v>170</v>
      </c>
      <c r="C72" s="13">
        <v>9</v>
      </c>
      <c r="D72" t="str">
        <f t="shared" si="4"/>
        <v>September</v>
      </c>
      <c r="E72">
        <v>2025</v>
      </c>
      <c r="F72" s="3">
        <v>1628.36</v>
      </c>
      <c r="G72" s="3">
        <v>1702.93</v>
      </c>
      <c r="H72" s="3">
        <v>0</v>
      </c>
      <c r="I72" s="3">
        <v>0</v>
      </c>
      <c r="J72" s="5">
        <v>762.3</v>
      </c>
      <c r="K72" s="5">
        <v>0</v>
      </c>
      <c r="L72" s="5">
        <v>352</v>
      </c>
      <c r="M72" s="5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10">
        <v>0</v>
      </c>
      <c r="Y72" s="10">
        <v>0</v>
      </c>
      <c r="Z72" s="3">
        <f>SUM(F72:I72)</f>
        <v>3331.29</v>
      </c>
      <c r="AA72" s="5">
        <f>SUM(J72:M72)</f>
        <v>1114.3</v>
      </c>
      <c r="AB72">
        <f t="shared" si="5"/>
        <v>2216.9899999999998</v>
      </c>
      <c r="AC72" s="8">
        <f>SUM(N72:W72)</f>
        <v>0</v>
      </c>
      <c r="AD72">
        <f t="shared" si="6"/>
        <v>2216.9899999999998</v>
      </c>
      <c r="AE72" s="10">
        <f>SUM(X72:Y72)</f>
        <v>0</v>
      </c>
      <c r="AF72">
        <f t="shared" si="7"/>
        <v>2216.9899999999998</v>
      </c>
    </row>
    <row r="73" spans="1:32" x14ac:dyDescent="0.25">
      <c r="A73" t="s">
        <v>171</v>
      </c>
      <c r="B73" t="s">
        <v>172</v>
      </c>
      <c r="C73" s="13">
        <v>10</v>
      </c>
      <c r="D73" t="str">
        <f t="shared" si="4"/>
        <v>October</v>
      </c>
      <c r="E73">
        <v>2025</v>
      </c>
      <c r="F73" s="3">
        <v>899</v>
      </c>
      <c r="G73" s="3">
        <v>0</v>
      </c>
      <c r="H73" s="3">
        <v>0</v>
      </c>
      <c r="I73" s="3">
        <v>0</v>
      </c>
      <c r="J73" s="5">
        <v>0</v>
      </c>
      <c r="K73" s="5">
        <v>5</v>
      </c>
      <c r="L73" s="6">
        <v>167</v>
      </c>
      <c r="M73" s="5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10">
        <v>0</v>
      </c>
      <c r="Y73" s="10">
        <v>0</v>
      </c>
      <c r="Z73" s="3">
        <f>SUM(F73:I73)</f>
        <v>899</v>
      </c>
      <c r="AA73" s="5">
        <f>SUM(J73:M73)</f>
        <v>172</v>
      </c>
      <c r="AB73">
        <f t="shared" si="5"/>
        <v>727</v>
      </c>
      <c r="AC73" s="8">
        <f>SUM(N73:W73)</f>
        <v>0</v>
      </c>
      <c r="AD73">
        <f t="shared" si="6"/>
        <v>727</v>
      </c>
      <c r="AE73" s="10">
        <f>SUM(X73:Y73)</f>
        <v>0</v>
      </c>
      <c r="AF73">
        <f t="shared" si="7"/>
        <v>727</v>
      </c>
    </row>
    <row r="74" spans="1:32" x14ac:dyDescent="0.25">
      <c r="A74" t="s">
        <v>173</v>
      </c>
      <c r="B74" t="s">
        <v>174</v>
      </c>
      <c r="C74" s="13">
        <v>10</v>
      </c>
      <c r="D74" t="str">
        <f t="shared" si="4"/>
        <v>October</v>
      </c>
      <c r="E74">
        <v>2025</v>
      </c>
      <c r="F74" s="3">
        <v>3262.98</v>
      </c>
      <c r="G74" s="3">
        <v>0</v>
      </c>
      <c r="H74" s="3">
        <v>0</v>
      </c>
      <c r="I74" s="3">
        <v>0</v>
      </c>
      <c r="J74" s="5">
        <v>0</v>
      </c>
      <c r="K74" s="5">
        <v>5</v>
      </c>
      <c r="L74" s="5">
        <v>162</v>
      </c>
      <c r="M74" s="5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10">
        <v>0</v>
      </c>
      <c r="Y74" s="10">
        <v>0</v>
      </c>
      <c r="Z74" s="3">
        <f>SUM(F74:I74)</f>
        <v>3262.98</v>
      </c>
      <c r="AA74" s="5">
        <f>SUM(J74:M74)</f>
        <v>167</v>
      </c>
      <c r="AB74">
        <f t="shared" si="5"/>
        <v>3095.98</v>
      </c>
      <c r="AC74" s="8">
        <f>SUM(N74:W74)</f>
        <v>0</v>
      </c>
      <c r="AD74">
        <f t="shared" si="6"/>
        <v>3095.98</v>
      </c>
      <c r="AE74" s="10">
        <f>SUM(X74:Y74)</f>
        <v>0</v>
      </c>
      <c r="AF74">
        <f t="shared" si="7"/>
        <v>3095.98</v>
      </c>
    </row>
    <row r="75" spans="1:32" x14ac:dyDescent="0.25">
      <c r="A75" t="s">
        <v>175</v>
      </c>
      <c r="B75" t="s">
        <v>176</v>
      </c>
      <c r="C75" s="13">
        <v>10</v>
      </c>
      <c r="D75" t="str">
        <f t="shared" ref="D75:D108" si="8">TEXT(DATE(E75,C75,1),"MMMM")</f>
        <v>October</v>
      </c>
      <c r="E75">
        <v>2025</v>
      </c>
      <c r="F75" s="3">
        <v>849</v>
      </c>
      <c r="G75" s="3">
        <v>0</v>
      </c>
      <c r="H75" s="3">
        <v>0</v>
      </c>
      <c r="I75" s="3">
        <v>0</v>
      </c>
      <c r="J75" s="5">
        <v>0</v>
      </c>
      <c r="K75" s="5">
        <v>5</v>
      </c>
      <c r="L75" s="5">
        <v>201</v>
      </c>
      <c r="M75" s="5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10">
        <v>0</v>
      </c>
      <c r="Y75" s="10">
        <v>0</v>
      </c>
      <c r="Z75" s="3">
        <f>SUM(F75:I75)</f>
        <v>849</v>
      </c>
      <c r="AA75" s="5">
        <f>SUM(J75:M75)</f>
        <v>206</v>
      </c>
      <c r="AB75">
        <f t="shared" si="5"/>
        <v>643</v>
      </c>
      <c r="AC75" s="8">
        <f>SUM(N75:W75)</f>
        <v>0</v>
      </c>
      <c r="AD75">
        <f t="shared" si="6"/>
        <v>643</v>
      </c>
      <c r="AE75" s="10">
        <f>SUM(X75:Y75)</f>
        <v>0</v>
      </c>
      <c r="AF75">
        <f t="shared" si="7"/>
        <v>643</v>
      </c>
    </row>
    <row r="76" spans="1:32" x14ac:dyDescent="0.25">
      <c r="A76" t="s">
        <v>177</v>
      </c>
      <c r="B76" t="s">
        <v>178</v>
      </c>
      <c r="C76" s="13">
        <v>10</v>
      </c>
      <c r="D76" t="str">
        <f t="shared" si="8"/>
        <v>October</v>
      </c>
      <c r="E76">
        <v>2025</v>
      </c>
      <c r="F76" s="3">
        <v>647.92999999999995</v>
      </c>
      <c r="G76" s="3">
        <v>0</v>
      </c>
      <c r="H76" s="3">
        <v>0</v>
      </c>
      <c r="I76" s="3">
        <v>0</v>
      </c>
      <c r="J76" s="5">
        <v>0</v>
      </c>
      <c r="K76" s="5">
        <v>0</v>
      </c>
      <c r="L76" s="5">
        <v>187</v>
      </c>
      <c r="M76" s="5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10">
        <v>0</v>
      </c>
      <c r="Y76" s="10">
        <v>0</v>
      </c>
      <c r="Z76" s="3">
        <f>SUM(F76:I76)</f>
        <v>647.92999999999995</v>
      </c>
      <c r="AA76" s="5">
        <f>SUM(J76:M76)</f>
        <v>187</v>
      </c>
      <c r="AB76">
        <f t="shared" si="5"/>
        <v>460.92999999999995</v>
      </c>
      <c r="AC76" s="8">
        <f>SUM(N76:W76)</f>
        <v>0</v>
      </c>
      <c r="AD76">
        <f t="shared" si="6"/>
        <v>460.92999999999995</v>
      </c>
      <c r="AE76" s="10">
        <f>SUM(X76:Y76)</f>
        <v>0</v>
      </c>
      <c r="AF76">
        <f t="shared" si="7"/>
        <v>460.92999999999995</v>
      </c>
    </row>
    <row r="77" spans="1:32" x14ac:dyDescent="0.25">
      <c r="A77" t="s">
        <v>179</v>
      </c>
      <c r="B77" t="s">
        <v>180</v>
      </c>
      <c r="C77" s="13">
        <v>10</v>
      </c>
      <c r="D77" t="str">
        <f t="shared" si="8"/>
        <v>October</v>
      </c>
      <c r="E77">
        <v>2025</v>
      </c>
      <c r="F77" s="3">
        <v>569</v>
      </c>
      <c r="G77" s="3">
        <v>0</v>
      </c>
      <c r="H77" s="3">
        <v>0</v>
      </c>
      <c r="I77" s="3">
        <v>0</v>
      </c>
      <c r="J77" s="5">
        <v>0</v>
      </c>
      <c r="K77" s="5">
        <v>5</v>
      </c>
      <c r="L77" s="5">
        <v>183</v>
      </c>
      <c r="M77" s="5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10">
        <v>0</v>
      </c>
      <c r="Y77" s="10">
        <v>0</v>
      </c>
      <c r="Z77" s="3">
        <f>SUM(F77:I77)</f>
        <v>569</v>
      </c>
      <c r="AA77" s="5">
        <f>SUM(J77:M77)</f>
        <v>188</v>
      </c>
      <c r="AB77">
        <f t="shared" si="5"/>
        <v>381</v>
      </c>
      <c r="AC77" s="8">
        <f>SUM(N77:W77)</f>
        <v>0</v>
      </c>
      <c r="AD77">
        <f t="shared" si="6"/>
        <v>381</v>
      </c>
      <c r="AE77" s="10">
        <f>SUM(X77:Y77)</f>
        <v>0</v>
      </c>
      <c r="AF77">
        <f t="shared" si="7"/>
        <v>381</v>
      </c>
    </row>
    <row r="78" spans="1:32" x14ac:dyDescent="0.25">
      <c r="A78" t="s">
        <v>181</v>
      </c>
      <c r="B78" t="s">
        <v>182</v>
      </c>
      <c r="C78" s="13">
        <v>10</v>
      </c>
      <c r="D78" t="str">
        <f t="shared" si="8"/>
        <v>October</v>
      </c>
      <c r="E78">
        <v>2025</v>
      </c>
      <c r="F78" s="3">
        <v>797.68</v>
      </c>
      <c r="G78" s="3">
        <v>0</v>
      </c>
      <c r="H78" s="3">
        <v>0</v>
      </c>
      <c r="I78" s="3">
        <v>0</v>
      </c>
      <c r="J78" s="5">
        <v>0</v>
      </c>
      <c r="K78" s="5">
        <v>5</v>
      </c>
      <c r="L78" s="5">
        <v>154</v>
      </c>
      <c r="M78" s="5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10">
        <v>0</v>
      </c>
      <c r="Y78" s="10">
        <v>0</v>
      </c>
      <c r="Z78" s="3">
        <f>SUM(F78:I78)</f>
        <v>797.68</v>
      </c>
      <c r="AA78" s="5">
        <f>SUM(J78:M78)</f>
        <v>159</v>
      </c>
      <c r="AB78">
        <f t="shared" si="5"/>
        <v>638.67999999999995</v>
      </c>
      <c r="AC78" s="8">
        <f>SUM(N78:W78)</f>
        <v>0</v>
      </c>
      <c r="AD78">
        <f t="shared" si="6"/>
        <v>638.67999999999995</v>
      </c>
      <c r="AE78" s="10">
        <f>SUM(X78:Y78)</f>
        <v>0</v>
      </c>
      <c r="AF78">
        <f t="shared" si="7"/>
        <v>638.67999999999995</v>
      </c>
    </row>
    <row r="79" spans="1:32" x14ac:dyDescent="0.25">
      <c r="A79" t="s">
        <v>183</v>
      </c>
      <c r="B79" t="s">
        <v>184</v>
      </c>
      <c r="C79" s="13">
        <v>10</v>
      </c>
      <c r="D79" t="str">
        <f t="shared" si="8"/>
        <v>October</v>
      </c>
      <c r="E79">
        <v>2025</v>
      </c>
      <c r="F79" s="3">
        <v>3925</v>
      </c>
      <c r="G79" s="3">
        <v>0</v>
      </c>
      <c r="H79" s="3">
        <v>0</v>
      </c>
      <c r="I79" s="3">
        <v>0</v>
      </c>
      <c r="J79" s="5">
        <v>0</v>
      </c>
      <c r="K79" s="5">
        <v>5</v>
      </c>
      <c r="L79" s="5">
        <v>562.62</v>
      </c>
      <c r="M79" s="5">
        <v>0</v>
      </c>
      <c r="N79" s="8">
        <v>50</v>
      </c>
      <c r="O79" s="8">
        <v>0</v>
      </c>
      <c r="P79" s="8">
        <v>0</v>
      </c>
      <c r="Q79" s="8">
        <v>50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10">
        <v>0</v>
      </c>
      <c r="Y79" s="10">
        <v>0</v>
      </c>
      <c r="Z79" s="3">
        <f>SUM(F79:I79)</f>
        <v>3925</v>
      </c>
      <c r="AA79" s="5">
        <f>SUM(J79:M79)</f>
        <v>567.62</v>
      </c>
      <c r="AB79">
        <f t="shared" si="5"/>
        <v>3357.38</v>
      </c>
      <c r="AC79" s="8">
        <f>SUM(N79:W79)</f>
        <v>100</v>
      </c>
      <c r="AD79">
        <f t="shared" si="6"/>
        <v>3257.38</v>
      </c>
      <c r="AE79" s="10">
        <f>SUM(X79:Y79)</f>
        <v>0</v>
      </c>
      <c r="AF79">
        <f t="shared" si="7"/>
        <v>3257.38</v>
      </c>
    </row>
    <row r="80" spans="1:32" x14ac:dyDescent="0.25">
      <c r="A80" t="s">
        <v>185</v>
      </c>
      <c r="B80" t="s">
        <v>186</v>
      </c>
      <c r="C80" s="13">
        <v>10</v>
      </c>
      <c r="D80" t="str">
        <f t="shared" si="8"/>
        <v>October</v>
      </c>
      <c r="E80">
        <v>2025</v>
      </c>
      <c r="F80" s="3">
        <v>1000</v>
      </c>
      <c r="G80" s="3">
        <v>0</v>
      </c>
      <c r="H80" s="3">
        <v>0</v>
      </c>
      <c r="I80" s="3">
        <v>0</v>
      </c>
      <c r="J80" s="5">
        <v>0</v>
      </c>
      <c r="K80" s="5">
        <v>5</v>
      </c>
      <c r="L80" s="5">
        <v>260</v>
      </c>
      <c r="M80" s="5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10">
        <v>0</v>
      </c>
      <c r="Y80" s="10">
        <v>0</v>
      </c>
      <c r="Z80" s="3">
        <f>SUM(F80:I80)</f>
        <v>1000</v>
      </c>
      <c r="AA80" s="5">
        <f>SUM(J80:M80)</f>
        <v>265</v>
      </c>
      <c r="AB80">
        <f t="shared" si="5"/>
        <v>735</v>
      </c>
      <c r="AC80" s="8">
        <f>SUM(N80:W80)</f>
        <v>0</v>
      </c>
      <c r="AD80">
        <f t="shared" si="6"/>
        <v>735</v>
      </c>
      <c r="AE80" s="10">
        <f>SUM(X80:Y80)</f>
        <v>0</v>
      </c>
      <c r="AF80">
        <f t="shared" si="7"/>
        <v>735</v>
      </c>
    </row>
    <row r="81" spans="1:32" x14ac:dyDescent="0.25">
      <c r="A81" t="s">
        <v>187</v>
      </c>
      <c r="B81" t="s">
        <v>188</v>
      </c>
      <c r="C81" s="13">
        <v>10</v>
      </c>
      <c r="D81" t="str">
        <f t="shared" si="8"/>
        <v>October</v>
      </c>
      <c r="E81">
        <v>2025</v>
      </c>
      <c r="F81" s="3">
        <v>971.99</v>
      </c>
      <c r="G81" s="3">
        <v>0</v>
      </c>
      <c r="H81" s="3">
        <v>0</v>
      </c>
      <c r="I81" s="3">
        <v>0</v>
      </c>
      <c r="J81" s="5">
        <v>0</v>
      </c>
      <c r="K81" s="5">
        <v>5</v>
      </c>
      <c r="L81" s="5">
        <v>169</v>
      </c>
      <c r="M81" s="5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10">
        <v>0</v>
      </c>
      <c r="Y81" s="10">
        <v>0</v>
      </c>
      <c r="Z81" s="3">
        <f>SUM(F81:I81)</f>
        <v>971.99</v>
      </c>
      <c r="AA81" s="5">
        <f>SUM(J81:M81)</f>
        <v>174</v>
      </c>
      <c r="AB81">
        <f t="shared" si="5"/>
        <v>797.99</v>
      </c>
      <c r="AC81" s="8">
        <f>SUM(N81:W81)</f>
        <v>0</v>
      </c>
      <c r="AD81">
        <f t="shared" si="6"/>
        <v>797.99</v>
      </c>
      <c r="AE81" s="10">
        <f>SUM(X81:Y81)</f>
        <v>0</v>
      </c>
      <c r="AF81">
        <f t="shared" si="7"/>
        <v>797.99</v>
      </c>
    </row>
    <row r="82" spans="1:32" x14ac:dyDescent="0.25">
      <c r="A82" t="s">
        <v>189</v>
      </c>
      <c r="B82" t="s">
        <v>190</v>
      </c>
      <c r="C82" s="13">
        <v>10</v>
      </c>
      <c r="D82" t="str">
        <f t="shared" si="8"/>
        <v>October</v>
      </c>
      <c r="E82">
        <v>2025</v>
      </c>
      <c r="F82" s="3">
        <v>5945</v>
      </c>
      <c r="G82" s="3">
        <v>0</v>
      </c>
      <c r="H82" s="3">
        <v>0</v>
      </c>
      <c r="I82" s="3">
        <v>0</v>
      </c>
      <c r="J82" s="5">
        <v>202</v>
      </c>
      <c r="K82" s="5">
        <v>5</v>
      </c>
      <c r="L82" s="5">
        <v>12</v>
      </c>
      <c r="M82" s="5">
        <v>0</v>
      </c>
      <c r="N82" s="8">
        <v>100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10">
        <v>0</v>
      </c>
      <c r="Y82" s="10">
        <v>0</v>
      </c>
      <c r="Z82" s="3">
        <f>SUM(F82:I82)</f>
        <v>5945</v>
      </c>
      <c r="AA82" s="5">
        <f>SUM(J82:M82)</f>
        <v>219</v>
      </c>
      <c r="AB82">
        <f t="shared" si="5"/>
        <v>5726</v>
      </c>
      <c r="AC82" s="8">
        <f>SUM(N82:W82)</f>
        <v>100</v>
      </c>
      <c r="AD82">
        <f t="shared" si="6"/>
        <v>5626</v>
      </c>
      <c r="AE82" s="10">
        <f>SUM(X82:Y82)</f>
        <v>0</v>
      </c>
      <c r="AF82">
        <f t="shared" si="7"/>
        <v>5626</v>
      </c>
    </row>
    <row r="83" spans="1:32" x14ac:dyDescent="0.25">
      <c r="A83" t="s">
        <v>191</v>
      </c>
      <c r="B83" t="s">
        <v>192</v>
      </c>
      <c r="C83" s="13">
        <v>10</v>
      </c>
      <c r="D83" t="str">
        <f t="shared" si="8"/>
        <v>October</v>
      </c>
      <c r="E83">
        <v>2025</v>
      </c>
      <c r="F83" s="3">
        <v>3414.96</v>
      </c>
      <c r="G83" s="3">
        <v>0</v>
      </c>
      <c r="H83" s="3">
        <v>0</v>
      </c>
      <c r="I83" s="3">
        <v>0</v>
      </c>
      <c r="J83" s="5">
        <v>0</v>
      </c>
      <c r="K83" s="5">
        <v>20</v>
      </c>
      <c r="L83" s="5">
        <v>1042</v>
      </c>
      <c r="M83" s="5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10">
        <v>0</v>
      </c>
      <c r="Y83" s="10">
        <v>0</v>
      </c>
      <c r="Z83" s="3">
        <f>SUM(F83:I83)</f>
        <v>3414.96</v>
      </c>
      <c r="AA83" s="5">
        <f>SUM(J83:M83)</f>
        <v>1062</v>
      </c>
      <c r="AB83">
        <f t="shared" si="5"/>
        <v>2352.96</v>
      </c>
      <c r="AC83" s="8">
        <f>SUM(N83:W83)</f>
        <v>0</v>
      </c>
      <c r="AD83">
        <f t="shared" si="6"/>
        <v>2352.96</v>
      </c>
      <c r="AE83" s="10">
        <f>SUM(X83:Y83)</f>
        <v>0</v>
      </c>
      <c r="AF83">
        <f t="shared" si="7"/>
        <v>2352.96</v>
      </c>
    </row>
    <row r="84" spans="1:32" x14ac:dyDescent="0.25">
      <c r="A84" t="s">
        <v>193</v>
      </c>
      <c r="B84" t="s">
        <v>194</v>
      </c>
      <c r="C84" s="13">
        <v>10</v>
      </c>
      <c r="D84" t="str">
        <f t="shared" si="8"/>
        <v>October</v>
      </c>
      <c r="E84">
        <v>2025</v>
      </c>
      <c r="F84" s="3">
        <v>2097</v>
      </c>
      <c r="G84" s="3">
        <v>0</v>
      </c>
      <c r="H84" s="3">
        <v>0</v>
      </c>
      <c r="I84" s="3">
        <v>0</v>
      </c>
      <c r="J84" s="5">
        <v>0</v>
      </c>
      <c r="K84" s="5">
        <v>5</v>
      </c>
      <c r="L84" s="5">
        <v>512</v>
      </c>
      <c r="M84" s="5">
        <v>0</v>
      </c>
      <c r="N84" s="8">
        <v>50</v>
      </c>
      <c r="O84" s="8">
        <v>0</v>
      </c>
      <c r="P84" s="8">
        <v>0</v>
      </c>
      <c r="Q84" s="8">
        <v>0</v>
      </c>
      <c r="R84" s="8">
        <v>0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10">
        <v>0</v>
      </c>
      <c r="Y84" s="10">
        <v>0</v>
      </c>
      <c r="Z84" s="3">
        <f>SUM(F84:I84)</f>
        <v>2097</v>
      </c>
      <c r="AA84" s="5">
        <f>SUM(J84:M84)</f>
        <v>517</v>
      </c>
      <c r="AB84">
        <f t="shared" si="5"/>
        <v>1580</v>
      </c>
      <c r="AC84" s="8">
        <f>SUM(N84:W84)</f>
        <v>50</v>
      </c>
      <c r="AD84">
        <f t="shared" si="6"/>
        <v>1530</v>
      </c>
      <c r="AE84" s="10">
        <f>SUM(X84:Y84)</f>
        <v>0</v>
      </c>
      <c r="AF84">
        <f t="shared" si="7"/>
        <v>1530</v>
      </c>
    </row>
    <row r="85" spans="1:32" x14ac:dyDescent="0.25">
      <c r="A85" t="s">
        <v>195</v>
      </c>
      <c r="B85" t="s">
        <v>196</v>
      </c>
      <c r="C85" s="13">
        <v>11</v>
      </c>
      <c r="D85" t="str">
        <f t="shared" si="8"/>
        <v>November</v>
      </c>
      <c r="E85">
        <v>2025</v>
      </c>
      <c r="F85" s="3">
        <v>0</v>
      </c>
      <c r="G85" s="3">
        <v>0</v>
      </c>
      <c r="H85" s="3">
        <v>0</v>
      </c>
      <c r="I85" s="3">
        <v>0</v>
      </c>
      <c r="J85" s="5">
        <v>0</v>
      </c>
      <c r="K85" s="5">
        <v>20</v>
      </c>
      <c r="L85" s="5">
        <v>337</v>
      </c>
      <c r="M85" s="5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10">
        <v>0</v>
      </c>
      <c r="Y85" s="10">
        <v>0</v>
      </c>
      <c r="Z85" s="3">
        <f>SUM(F85:I85)</f>
        <v>0</v>
      </c>
      <c r="AA85" s="5">
        <f>SUM(J85:M85)</f>
        <v>357</v>
      </c>
      <c r="AB85">
        <f t="shared" si="5"/>
        <v>-357</v>
      </c>
      <c r="AC85" s="8">
        <f>SUM(N85:W85)</f>
        <v>0</v>
      </c>
      <c r="AD85">
        <f t="shared" si="6"/>
        <v>-357</v>
      </c>
      <c r="AE85" s="10">
        <f>SUM(X85:Y85)</f>
        <v>0</v>
      </c>
      <c r="AF85">
        <f t="shared" si="7"/>
        <v>-357</v>
      </c>
    </row>
    <row r="86" spans="1:32" x14ac:dyDescent="0.25">
      <c r="A86" t="s">
        <v>197</v>
      </c>
      <c r="B86" t="s">
        <v>198</v>
      </c>
      <c r="C86" s="13">
        <v>11</v>
      </c>
      <c r="D86" t="str">
        <f t="shared" si="8"/>
        <v>November</v>
      </c>
      <c r="E86">
        <v>2025</v>
      </c>
      <c r="F86" s="3">
        <v>755.76</v>
      </c>
      <c r="G86" s="3">
        <v>0</v>
      </c>
      <c r="H86" s="3">
        <v>0</v>
      </c>
      <c r="I86" s="3">
        <v>0</v>
      </c>
      <c r="J86" s="5">
        <v>0</v>
      </c>
      <c r="K86" s="5">
        <v>20</v>
      </c>
      <c r="L86" s="5">
        <v>181</v>
      </c>
      <c r="M86" s="5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10">
        <v>0</v>
      </c>
      <c r="Y86" s="10">
        <v>0</v>
      </c>
      <c r="Z86" s="3">
        <f>SUM(F86:I86)</f>
        <v>755.76</v>
      </c>
      <c r="AA86" s="5">
        <f>SUM(J86:M86)</f>
        <v>201</v>
      </c>
      <c r="AB86">
        <f t="shared" si="5"/>
        <v>554.76</v>
      </c>
      <c r="AC86" s="8">
        <f>SUM(N86:W86)</f>
        <v>0</v>
      </c>
      <c r="AD86">
        <f t="shared" si="6"/>
        <v>554.76</v>
      </c>
      <c r="AE86" s="10">
        <f>SUM(X86:Y86)</f>
        <v>0</v>
      </c>
      <c r="AF86">
        <f t="shared" si="7"/>
        <v>554.76</v>
      </c>
    </row>
    <row r="87" spans="1:32" x14ac:dyDescent="0.25">
      <c r="A87" t="s">
        <v>199</v>
      </c>
      <c r="B87" t="s">
        <v>200</v>
      </c>
      <c r="C87" s="13">
        <v>11</v>
      </c>
      <c r="D87" t="str">
        <f t="shared" si="8"/>
        <v>November</v>
      </c>
      <c r="E87">
        <v>2025</v>
      </c>
      <c r="F87" s="3">
        <v>849</v>
      </c>
      <c r="G87" s="3">
        <v>0</v>
      </c>
      <c r="H87" s="3">
        <v>0</v>
      </c>
      <c r="I87" s="3">
        <v>0</v>
      </c>
      <c r="J87" s="5">
        <v>0</v>
      </c>
      <c r="K87" s="5">
        <v>20</v>
      </c>
      <c r="L87" s="5">
        <v>154</v>
      </c>
      <c r="M87" s="5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  <c r="X87" s="10">
        <v>0</v>
      </c>
      <c r="Y87" s="10">
        <v>0</v>
      </c>
      <c r="Z87" s="3">
        <f>SUM(F87:I87)</f>
        <v>849</v>
      </c>
      <c r="AA87" s="5">
        <f>SUM(J87:M87)</f>
        <v>174</v>
      </c>
      <c r="AB87">
        <f t="shared" si="5"/>
        <v>675</v>
      </c>
      <c r="AC87" s="8">
        <f>SUM(N87:W87)</f>
        <v>0</v>
      </c>
      <c r="AD87">
        <f t="shared" si="6"/>
        <v>675</v>
      </c>
      <c r="AE87" s="10">
        <f>SUM(X87:Y87)</f>
        <v>0</v>
      </c>
      <c r="AF87">
        <f t="shared" si="7"/>
        <v>675</v>
      </c>
    </row>
    <row r="88" spans="1:32" x14ac:dyDescent="0.25">
      <c r="A88" t="s">
        <v>201</v>
      </c>
      <c r="B88" t="s">
        <v>202</v>
      </c>
      <c r="C88" s="13">
        <v>11</v>
      </c>
      <c r="D88" t="str">
        <f t="shared" si="8"/>
        <v>November</v>
      </c>
      <c r="E88">
        <v>2025</v>
      </c>
      <c r="F88" s="3">
        <v>863.88</v>
      </c>
      <c r="G88" s="3">
        <v>0</v>
      </c>
      <c r="H88" s="3">
        <v>0</v>
      </c>
      <c r="I88" s="3">
        <v>0</v>
      </c>
      <c r="J88" s="5">
        <v>0</v>
      </c>
      <c r="K88" s="5">
        <v>20</v>
      </c>
      <c r="L88" s="5">
        <v>171</v>
      </c>
      <c r="M88" s="5">
        <v>0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U88" s="8">
        <v>0</v>
      </c>
      <c r="V88" s="8">
        <v>0</v>
      </c>
      <c r="W88" s="8">
        <v>0</v>
      </c>
      <c r="X88" s="10">
        <v>0</v>
      </c>
      <c r="Y88" s="10">
        <v>0</v>
      </c>
      <c r="Z88" s="3">
        <f>SUM(F88:I88)</f>
        <v>863.88</v>
      </c>
      <c r="AA88" s="5">
        <f>SUM(J88:M88)</f>
        <v>191</v>
      </c>
      <c r="AB88">
        <f t="shared" si="5"/>
        <v>672.88</v>
      </c>
      <c r="AC88" s="8">
        <f>SUM(N88:W88)</f>
        <v>0</v>
      </c>
      <c r="AD88">
        <f t="shared" si="6"/>
        <v>672.88</v>
      </c>
      <c r="AE88" s="10">
        <f>SUM(X88:Y88)</f>
        <v>0</v>
      </c>
      <c r="AF88">
        <f t="shared" si="7"/>
        <v>672.88</v>
      </c>
    </row>
    <row r="89" spans="1:32" x14ac:dyDescent="0.25">
      <c r="A89" t="s">
        <v>203</v>
      </c>
      <c r="B89" t="s">
        <v>204</v>
      </c>
      <c r="C89" s="13">
        <v>12</v>
      </c>
      <c r="D89" t="str">
        <f t="shared" si="8"/>
        <v>December</v>
      </c>
      <c r="E89">
        <v>2025</v>
      </c>
      <c r="F89" s="3">
        <v>2400</v>
      </c>
      <c r="G89" s="3">
        <v>0</v>
      </c>
      <c r="H89" s="3">
        <v>0</v>
      </c>
      <c r="I89" s="3">
        <v>0</v>
      </c>
      <c r="J89" s="5">
        <v>80.63</v>
      </c>
      <c r="K89" s="5">
        <v>20</v>
      </c>
      <c r="L89" s="5">
        <v>342.25</v>
      </c>
      <c r="M89" s="5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>
        <v>0</v>
      </c>
      <c r="V89" s="8">
        <v>0</v>
      </c>
      <c r="W89" s="8">
        <v>0</v>
      </c>
      <c r="X89" s="10">
        <v>0</v>
      </c>
      <c r="Y89" s="10">
        <v>0</v>
      </c>
      <c r="Z89" s="3">
        <f>SUM(F89:I89)</f>
        <v>2400</v>
      </c>
      <c r="AA89" s="5">
        <f>SUM(J89:M89)</f>
        <v>442.88</v>
      </c>
      <c r="AB89">
        <f t="shared" si="5"/>
        <v>1957.12</v>
      </c>
      <c r="AC89" s="8">
        <f>SUM(N89:W89)</f>
        <v>0</v>
      </c>
      <c r="AD89">
        <f t="shared" si="6"/>
        <v>1957.12</v>
      </c>
      <c r="AE89" s="10">
        <f>SUM(X89:Y89)</f>
        <v>0</v>
      </c>
      <c r="AF89">
        <f t="shared" si="7"/>
        <v>1957.12</v>
      </c>
    </row>
    <row r="90" spans="1:32" x14ac:dyDescent="0.25">
      <c r="A90" t="s">
        <v>205</v>
      </c>
      <c r="B90" t="s">
        <v>206</v>
      </c>
      <c r="C90" s="13">
        <v>12</v>
      </c>
      <c r="D90" t="str">
        <f t="shared" si="8"/>
        <v>December</v>
      </c>
      <c r="E90">
        <v>2025</v>
      </c>
      <c r="F90" s="3">
        <v>499</v>
      </c>
      <c r="G90" s="3">
        <v>0</v>
      </c>
      <c r="H90" s="3">
        <v>0</v>
      </c>
      <c r="I90" s="3">
        <v>0</v>
      </c>
      <c r="J90" s="5">
        <v>0</v>
      </c>
      <c r="K90" s="5">
        <v>20</v>
      </c>
      <c r="L90" s="5">
        <v>112</v>
      </c>
      <c r="M90" s="5">
        <v>0</v>
      </c>
      <c r="N90" s="8">
        <v>0</v>
      </c>
      <c r="O90" s="8">
        <v>0</v>
      </c>
      <c r="P90" s="8">
        <v>0</v>
      </c>
      <c r="Q90" s="8">
        <v>0</v>
      </c>
      <c r="R90" s="8">
        <v>0</v>
      </c>
      <c r="S90" s="8">
        <v>0</v>
      </c>
      <c r="T90" s="8">
        <v>0</v>
      </c>
      <c r="U90" s="8">
        <v>0</v>
      </c>
      <c r="V90" s="8">
        <v>0</v>
      </c>
      <c r="W90" s="8">
        <v>0</v>
      </c>
      <c r="X90" s="10">
        <v>0</v>
      </c>
      <c r="Y90" s="10">
        <v>0</v>
      </c>
      <c r="Z90" s="3">
        <f>SUM(F90:I90)</f>
        <v>499</v>
      </c>
      <c r="AA90" s="5">
        <f>SUM(J90:M90)</f>
        <v>132</v>
      </c>
      <c r="AB90">
        <f t="shared" si="5"/>
        <v>367</v>
      </c>
      <c r="AC90" s="8">
        <f>SUM(N90:W90)</f>
        <v>0</v>
      </c>
      <c r="AD90">
        <f t="shared" si="6"/>
        <v>367</v>
      </c>
      <c r="AE90" s="10">
        <f>SUM(X90:Y90)</f>
        <v>0</v>
      </c>
      <c r="AF90">
        <f t="shared" si="7"/>
        <v>367</v>
      </c>
    </row>
    <row r="91" spans="1:32" x14ac:dyDescent="0.25">
      <c r="A91" t="s">
        <v>207</v>
      </c>
      <c r="B91" t="s">
        <v>208</v>
      </c>
      <c r="C91" s="13">
        <v>12</v>
      </c>
      <c r="D91" t="str">
        <f t="shared" si="8"/>
        <v>December</v>
      </c>
      <c r="E91">
        <v>2025</v>
      </c>
      <c r="F91" s="3">
        <v>1599</v>
      </c>
      <c r="G91" s="3">
        <v>0</v>
      </c>
      <c r="H91" s="3">
        <v>0</v>
      </c>
      <c r="I91" s="3">
        <v>0</v>
      </c>
      <c r="J91" s="5">
        <v>0</v>
      </c>
      <c r="K91" s="5">
        <v>20</v>
      </c>
      <c r="L91" s="5">
        <v>180</v>
      </c>
      <c r="M91" s="5">
        <v>0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  <c r="S91" s="8">
        <v>0</v>
      </c>
      <c r="T91" s="8">
        <v>0</v>
      </c>
      <c r="U91" s="8">
        <v>0</v>
      </c>
      <c r="V91" s="8">
        <v>0</v>
      </c>
      <c r="W91" s="8">
        <v>0</v>
      </c>
      <c r="X91" s="10">
        <v>0</v>
      </c>
      <c r="Y91" s="10">
        <v>0</v>
      </c>
      <c r="Z91" s="3">
        <f>SUM(F91:I91)</f>
        <v>1599</v>
      </c>
      <c r="AA91" s="5">
        <f>SUM(J91:M91)</f>
        <v>200</v>
      </c>
      <c r="AB91">
        <f t="shared" si="5"/>
        <v>1399</v>
      </c>
      <c r="AC91" s="8">
        <f>SUM(N91:W91)</f>
        <v>0</v>
      </c>
      <c r="AD91">
        <f t="shared" si="6"/>
        <v>1399</v>
      </c>
      <c r="AE91" s="10">
        <f>SUM(X91:Y91)</f>
        <v>0</v>
      </c>
      <c r="AF91">
        <f t="shared" si="7"/>
        <v>1399</v>
      </c>
    </row>
    <row r="92" spans="1:32" x14ac:dyDescent="0.25">
      <c r="A92" t="s">
        <v>209</v>
      </c>
      <c r="B92" t="s">
        <v>210</v>
      </c>
      <c r="C92" s="13">
        <v>12</v>
      </c>
      <c r="D92" t="str">
        <f t="shared" si="8"/>
        <v>December</v>
      </c>
      <c r="E92">
        <v>2025</v>
      </c>
      <c r="F92" s="3">
        <v>599</v>
      </c>
      <c r="G92" s="3">
        <v>0</v>
      </c>
      <c r="H92" s="3">
        <v>0</v>
      </c>
      <c r="I92" s="3">
        <v>0</v>
      </c>
      <c r="J92" s="5">
        <v>0</v>
      </c>
      <c r="K92" s="5">
        <v>20</v>
      </c>
      <c r="L92" s="5">
        <v>112</v>
      </c>
      <c r="M92" s="5">
        <v>0</v>
      </c>
      <c r="N92" s="8">
        <v>0</v>
      </c>
      <c r="O92" s="8">
        <v>0</v>
      </c>
      <c r="P92" s="8">
        <v>0</v>
      </c>
      <c r="Q92" s="8">
        <v>0</v>
      </c>
      <c r="R92" s="8">
        <v>0</v>
      </c>
      <c r="S92" s="8">
        <v>0</v>
      </c>
      <c r="T92" s="8">
        <v>0</v>
      </c>
      <c r="U92" s="8">
        <v>0</v>
      </c>
      <c r="V92" s="8">
        <v>0</v>
      </c>
      <c r="W92" s="8">
        <v>0</v>
      </c>
      <c r="X92" s="10">
        <v>0</v>
      </c>
      <c r="Y92" s="10">
        <v>0</v>
      </c>
      <c r="Z92" s="3">
        <f>SUM(F92:I92)</f>
        <v>599</v>
      </c>
      <c r="AA92" s="5">
        <f>SUM(J92:M92)</f>
        <v>132</v>
      </c>
      <c r="AB92">
        <f t="shared" si="5"/>
        <v>467</v>
      </c>
      <c r="AC92" s="8">
        <f>SUM(N92:W92)</f>
        <v>0</v>
      </c>
      <c r="AD92">
        <f t="shared" si="6"/>
        <v>467</v>
      </c>
      <c r="AE92" s="10">
        <f>SUM(X92:Y92)</f>
        <v>0</v>
      </c>
      <c r="AF92">
        <f t="shared" si="7"/>
        <v>467</v>
      </c>
    </row>
    <row r="93" spans="1:32" x14ac:dyDescent="0.25">
      <c r="A93" t="s">
        <v>211</v>
      </c>
      <c r="B93" t="s">
        <v>212</v>
      </c>
      <c r="C93" s="13">
        <v>12</v>
      </c>
      <c r="D93" t="str">
        <f t="shared" si="8"/>
        <v>December</v>
      </c>
      <c r="E93">
        <v>2025</v>
      </c>
      <c r="F93" s="3">
        <v>699</v>
      </c>
      <c r="G93" s="3">
        <v>0</v>
      </c>
      <c r="H93" s="3">
        <v>0</v>
      </c>
      <c r="I93" s="3">
        <v>0</v>
      </c>
      <c r="J93" s="5">
        <v>0</v>
      </c>
      <c r="K93" s="5">
        <v>20</v>
      </c>
      <c r="L93" s="5">
        <v>187</v>
      </c>
      <c r="M93" s="5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10">
        <v>0</v>
      </c>
      <c r="Y93" s="10">
        <v>0</v>
      </c>
      <c r="Z93" s="3">
        <f>SUM(F93:I93)</f>
        <v>699</v>
      </c>
      <c r="AA93" s="5">
        <f>SUM(J93:M93)</f>
        <v>207</v>
      </c>
      <c r="AB93">
        <f t="shared" si="5"/>
        <v>492</v>
      </c>
      <c r="AC93" s="8">
        <f>SUM(N93:W93)</f>
        <v>0</v>
      </c>
      <c r="AD93">
        <f t="shared" si="6"/>
        <v>492</v>
      </c>
      <c r="AE93" s="10">
        <f>SUM(X93:Y93)</f>
        <v>0</v>
      </c>
      <c r="AF93">
        <f t="shared" si="7"/>
        <v>492</v>
      </c>
    </row>
    <row r="94" spans="1:32" x14ac:dyDescent="0.25">
      <c r="A94" t="s">
        <v>213</v>
      </c>
      <c r="B94" t="s">
        <v>214</v>
      </c>
      <c r="C94" s="13">
        <v>12</v>
      </c>
      <c r="D94" t="str">
        <f t="shared" si="8"/>
        <v>December</v>
      </c>
      <c r="E94">
        <v>2025</v>
      </c>
      <c r="F94" s="3">
        <v>850.93</v>
      </c>
      <c r="G94" s="3">
        <v>0</v>
      </c>
      <c r="H94" s="3">
        <v>0</v>
      </c>
      <c r="I94" s="3">
        <v>0</v>
      </c>
      <c r="J94" s="5">
        <v>0</v>
      </c>
      <c r="K94" s="5">
        <v>20</v>
      </c>
      <c r="L94" s="5">
        <v>112</v>
      </c>
      <c r="M94" s="5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10">
        <v>0</v>
      </c>
      <c r="Y94" s="10">
        <v>0</v>
      </c>
      <c r="Z94" s="3">
        <f>SUM(F94:I94)</f>
        <v>850.93</v>
      </c>
      <c r="AA94" s="5">
        <f>SUM(J94:M94)</f>
        <v>132</v>
      </c>
      <c r="AB94">
        <f t="shared" si="5"/>
        <v>718.93</v>
      </c>
      <c r="AC94" s="8">
        <f>SUM(N94:W94)</f>
        <v>0</v>
      </c>
      <c r="AD94">
        <f t="shared" si="6"/>
        <v>718.93</v>
      </c>
      <c r="AE94" s="10">
        <f>SUM(X94:Y94)</f>
        <v>0</v>
      </c>
      <c r="AF94">
        <f t="shared" si="7"/>
        <v>718.93</v>
      </c>
    </row>
    <row r="95" spans="1:32" x14ac:dyDescent="0.25">
      <c r="A95" t="s">
        <v>215</v>
      </c>
      <c r="B95" t="s">
        <v>216</v>
      </c>
      <c r="C95" s="13">
        <v>12</v>
      </c>
      <c r="D95" t="str">
        <f t="shared" si="8"/>
        <v>December</v>
      </c>
      <c r="E95">
        <v>2025</v>
      </c>
      <c r="F95" s="3">
        <v>599</v>
      </c>
      <c r="G95" s="3">
        <v>0</v>
      </c>
      <c r="H95" s="3">
        <v>0</v>
      </c>
      <c r="I95" s="3">
        <v>0</v>
      </c>
      <c r="J95" s="5">
        <v>0</v>
      </c>
      <c r="K95" s="5">
        <v>20</v>
      </c>
      <c r="L95" s="5">
        <v>173.5</v>
      </c>
      <c r="M95" s="5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10">
        <v>0</v>
      </c>
      <c r="Y95" s="10">
        <v>0</v>
      </c>
      <c r="Z95" s="3">
        <f>SUM(F95:I95)</f>
        <v>599</v>
      </c>
      <c r="AA95" s="5">
        <f>SUM(J95:M95)</f>
        <v>193.5</v>
      </c>
      <c r="AB95">
        <f t="shared" si="5"/>
        <v>405.5</v>
      </c>
      <c r="AC95" s="8">
        <f>SUM(N95:W95)</f>
        <v>0</v>
      </c>
      <c r="AD95">
        <f t="shared" si="6"/>
        <v>405.5</v>
      </c>
      <c r="AE95" s="10">
        <f>SUM(X95:Y95)</f>
        <v>0</v>
      </c>
      <c r="AF95">
        <f t="shared" si="7"/>
        <v>405.5</v>
      </c>
    </row>
    <row r="96" spans="1:32" x14ac:dyDescent="0.25">
      <c r="A96" t="s">
        <v>217</v>
      </c>
      <c r="B96" t="s">
        <v>218</v>
      </c>
      <c r="C96" s="13">
        <v>12</v>
      </c>
      <c r="D96" t="str">
        <f t="shared" si="8"/>
        <v>December</v>
      </c>
      <c r="E96">
        <v>2025</v>
      </c>
      <c r="F96" s="3">
        <v>1495</v>
      </c>
      <c r="G96" s="3">
        <v>0</v>
      </c>
      <c r="H96" s="3">
        <v>0</v>
      </c>
      <c r="I96" s="3">
        <v>0</v>
      </c>
      <c r="J96" s="5">
        <v>0</v>
      </c>
      <c r="K96" s="5">
        <v>20</v>
      </c>
      <c r="L96" s="5">
        <v>180</v>
      </c>
      <c r="M96" s="5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10">
        <v>0</v>
      </c>
      <c r="Y96" s="10">
        <v>0</v>
      </c>
      <c r="Z96" s="3">
        <f>SUM(F96:I96)</f>
        <v>1495</v>
      </c>
      <c r="AA96" s="5">
        <f>SUM(J96:M96)</f>
        <v>200</v>
      </c>
      <c r="AB96">
        <f t="shared" si="5"/>
        <v>1295</v>
      </c>
      <c r="AC96" s="8">
        <f>SUM(N96:W96)</f>
        <v>0</v>
      </c>
      <c r="AD96">
        <f t="shared" si="6"/>
        <v>1295</v>
      </c>
      <c r="AE96" s="10">
        <f>SUM(X96:Y96)</f>
        <v>0</v>
      </c>
      <c r="AF96">
        <f t="shared" si="7"/>
        <v>1295</v>
      </c>
    </row>
    <row r="97" spans="1:32" x14ac:dyDescent="0.25">
      <c r="A97" t="s">
        <v>219</v>
      </c>
      <c r="B97" t="s">
        <v>220</v>
      </c>
      <c r="C97" s="13">
        <v>12</v>
      </c>
      <c r="D97" t="str">
        <f t="shared" si="8"/>
        <v>December</v>
      </c>
      <c r="E97">
        <v>2025</v>
      </c>
      <c r="F97" s="3">
        <v>899</v>
      </c>
      <c r="G97" s="3">
        <v>0</v>
      </c>
      <c r="H97" s="3">
        <v>0</v>
      </c>
      <c r="I97" s="3">
        <v>0</v>
      </c>
      <c r="J97" s="5">
        <v>0</v>
      </c>
      <c r="K97" s="5">
        <v>20</v>
      </c>
      <c r="L97" s="5">
        <v>159</v>
      </c>
      <c r="M97" s="5">
        <v>0</v>
      </c>
      <c r="N97" s="8">
        <v>0</v>
      </c>
      <c r="O97" s="8">
        <v>0</v>
      </c>
      <c r="P97" s="8">
        <v>0</v>
      </c>
      <c r="Q97" s="8">
        <v>0</v>
      </c>
      <c r="R97" s="8">
        <v>0</v>
      </c>
      <c r="S97" s="8">
        <v>0</v>
      </c>
      <c r="T97" s="8">
        <v>0</v>
      </c>
      <c r="U97" s="8">
        <v>0</v>
      </c>
      <c r="V97" s="8">
        <v>0</v>
      </c>
      <c r="W97" s="8">
        <v>0</v>
      </c>
      <c r="X97" s="10">
        <v>0</v>
      </c>
      <c r="Y97" s="10">
        <v>0</v>
      </c>
      <c r="Z97" s="3">
        <f>SUM(F97:I97)</f>
        <v>899</v>
      </c>
      <c r="AA97" s="5">
        <f>SUM(J97:M97)</f>
        <v>179</v>
      </c>
      <c r="AB97">
        <f t="shared" si="5"/>
        <v>720</v>
      </c>
      <c r="AC97" s="8">
        <f>SUM(N97:W97)</f>
        <v>0</v>
      </c>
      <c r="AD97">
        <f t="shared" si="6"/>
        <v>720</v>
      </c>
      <c r="AE97" s="10">
        <f>SUM(X97:Y97)</f>
        <v>0</v>
      </c>
      <c r="AF97">
        <f t="shared" si="7"/>
        <v>720</v>
      </c>
    </row>
    <row r="98" spans="1:32" x14ac:dyDescent="0.25">
      <c r="A98" t="s">
        <v>221</v>
      </c>
      <c r="B98" t="s">
        <v>222</v>
      </c>
      <c r="C98" s="13">
        <v>12</v>
      </c>
      <c r="D98" t="str">
        <f t="shared" si="8"/>
        <v>December</v>
      </c>
      <c r="E98">
        <v>2025</v>
      </c>
      <c r="F98" s="3">
        <v>899</v>
      </c>
      <c r="G98" s="3">
        <v>0</v>
      </c>
      <c r="H98" s="3">
        <v>0</v>
      </c>
      <c r="I98" s="3">
        <v>0</v>
      </c>
      <c r="J98" s="5">
        <v>0</v>
      </c>
      <c r="K98" s="5">
        <v>20</v>
      </c>
      <c r="L98" s="5">
        <v>159</v>
      </c>
      <c r="M98" s="5">
        <v>0</v>
      </c>
      <c r="N98" s="8">
        <v>0</v>
      </c>
      <c r="O98" s="8">
        <v>0</v>
      </c>
      <c r="P98" s="8">
        <v>0</v>
      </c>
      <c r="Q98" s="8">
        <v>0</v>
      </c>
      <c r="R98" s="8">
        <v>0</v>
      </c>
      <c r="S98" s="8">
        <v>0</v>
      </c>
      <c r="T98" s="8">
        <v>0</v>
      </c>
      <c r="U98" s="8">
        <v>0</v>
      </c>
      <c r="V98" s="8">
        <v>0</v>
      </c>
      <c r="W98" s="8">
        <v>0</v>
      </c>
      <c r="X98" s="10">
        <v>0</v>
      </c>
      <c r="Y98" s="10">
        <v>0</v>
      </c>
      <c r="Z98" s="3">
        <f>SUM(F98:I98)</f>
        <v>899</v>
      </c>
      <c r="AA98" s="5">
        <f>SUM(J98:M98)</f>
        <v>179</v>
      </c>
      <c r="AB98">
        <f t="shared" si="5"/>
        <v>720</v>
      </c>
      <c r="AC98" s="8">
        <f>SUM(N98:W98)</f>
        <v>0</v>
      </c>
      <c r="AD98">
        <f t="shared" si="6"/>
        <v>720</v>
      </c>
      <c r="AE98" s="10">
        <f>SUM(X98:Y98)</f>
        <v>0</v>
      </c>
      <c r="AF98">
        <f t="shared" si="7"/>
        <v>720</v>
      </c>
    </row>
    <row r="99" spans="1:32" x14ac:dyDescent="0.25">
      <c r="A99" t="s">
        <v>223</v>
      </c>
      <c r="B99" t="s">
        <v>224</v>
      </c>
      <c r="C99" s="13">
        <v>12</v>
      </c>
      <c r="D99" t="str">
        <f t="shared" si="8"/>
        <v>December</v>
      </c>
      <c r="E99">
        <v>2025</v>
      </c>
      <c r="F99" s="3">
        <v>1100</v>
      </c>
      <c r="G99" s="3">
        <v>0</v>
      </c>
      <c r="H99" s="3">
        <v>0</v>
      </c>
      <c r="I99" s="3">
        <v>0</v>
      </c>
      <c r="J99" s="5">
        <v>0</v>
      </c>
      <c r="K99" s="5">
        <v>20</v>
      </c>
      <c r="L99" s="5">
        <v>612</v>
      </c>
      <c r="M99" s="5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 s="8">
        <v>0</v>
      </c>
      <c r="V99" s="8">
        <v>0</v>
      </c>
      <c r="W99" s="8">
        <v>0</v>
      </c>
      <c r="X99" s="10">
        <v>0</v>
      </c>
      <c r="Y99" s="10">
        <v>0</v>
      </c>
      <c r="Z99" s="3">
        <f>SUM(F99:I99)</f>
        <v>1100</v>
      </c>
      <c r="AA99" s="5">
        <f>SUM(J99:M99)</f>
        <v>632</v>
      </c>
      <c r="AB99">
        <f t="shared" si="5"/>
        <v>468</v>
      </c>
      <c r="AC99" s="8">
        <f>SUM(N99:W99)</f>
        <v>0</v>
      </c>
      <c r="AD99">
        <f t="shared" si="6"/>
        <v>468</v>
      </c>
      <c r="AE99" s="10">
        <f>SUM(X99:Y99)</f>
        <v>0</v>
      </c>
      <c r="AF99">
        <f t="shared" si="7"/>
        <v>468</v>
      </c>
    </row>
    <row r="100" spans="1:32" x14ac:dyDescent="0.25">
      <c r="A100" t="s">
        <v>225</v>
      </c>
      <c r="B100" t="s">
        <v>226</v>
      </c>
      <c r="C100" s="13">
        <v>12</v>
      </c>
      <c r="D100" t="str">
        <f t="shared" si="8"/>
        <v>December</v>
      </c>
      <c r="E100">
        <v>2025</v>
      </c>
      <c r="F100" s="3">
        <v>599</v>
      </c>
      <c r="G100" s="3">
        <v>0</v>
      </c>
      <c r="H100" s="3">
        <v>0</v>
      </c>
      <c r="I100" s="3">
        <v>0</v>
      </c>
      <c r="J100" s="5">
        <v>0</v>
      </c>
      <c r="K100" s="5">
        <v>20</v>
      </c>
      <c r="L100" s="5">
        <v>199</v>
      </c>
      <c r="M100" s="5">
        <v>0</v>
      </c>
      <c r="N100" s="8">
        <v>0</v>
      </c>
      <c r="O100" s="8">
        <v>0</v>
      </c>
      <c r="P100" s="8">
        <v>0</v>
      </c>
      <c r="Q100" s="8">
        <v>0</v>
      </c>
      <c r="R100" s="8">
        <v>0</v>
      </c>
      <c r="S100" s="8">
        <v>0</v>
      </c>
      <c r="T100" s="8">
        <v>0</v>
      </c>
      <c r="U100" s="8">
        <v>0</v>
      </c>
      <c r="V100" s="8">
        <v>0</v>
      </c>
      <c r="W100" s="8">
        <v>0</v>
      </c>
      <c r="X100" s="10">
        <v>0</v>
      </c>
      <c r="Y100" s="10">
        <v>0</v>
      </c>
      <c r="Z100" s="3">
        <f>SUM(F100:I100)</f>
        <v>599</v>
      </c>
      <c r="AA100" s="5">
        <f>SUM(J100:M100)</f>
        <v>219</v>
      </c>
      <c r="AB100">
        <f t="shared" si="5"/>
        <v>380</v>
      </c>
      <c r="AC100" s="8">
        <f>SUM(N100:W100)</f>
        <v>0</v>
      </c>
      <c r="AD100">
        <f t="shared" si="6"/>
        <v>380</v>
      </c>
      <c r="AE100" s="10">
        <f>SUM(X100:Y100)</f>
        <v>0</v>
      </c>
      <c r="AF100">
        <f t="shared" si="7"/>
        <v>380</v>
      </c>
    </row>
    <row r="101" spans="1:32" x14ac:dyDescent="0.25">
      <c r="A101" t="s">
        <v>227</v>
      </c>
      <c r="B101" t="s">
        <v>228</v>
      </c>
      <c r="C101" s="13">
        <v>12</v>
      </c>
      <c r="D101" t="str">
        <f t="shared" si="8"/>
        <v>December</v>
      </c>
      <c r="E101">
        <v>2025</v>
      </c>
      <c r="F101" s="3">
        <v>1100</v>
      </c>
      <c r="G101" s="3">
        <v>0</v>
      </c>
      <c r="H101" s="3">
        <v>0</v>
      </c>
      <c r="I101" s="3">
        <v>0</v>
      </c>
      <c r="J101" s="5">
        <v>0</v>
      </c>
      <c r="K101" s="5">
        <v>20</v>
      </c>
      <c r="L101" s="5">
        <v>812</v>
      </c>
      <c r="M101" s="5">
        <v>0</v>
      </c>
      <c r="N101" s="8">
        <v>0</v>
      </c>
      <c r="O101" s="8">
        <v>0</v>
      </c>
      <c r="P101" s="8">
        <v>0</v>
      </c>
      <c r="Q101" s="8">
        <v>0</v>
      </c>
      <c r="R101" s="8">
        <v>0</v>
      </c>
      <c r="S101" s="8">
        <v>0</v>
      </c>
      <c r="T101" s="8">
        <v>0</v>
      </c>
      <c r="U101" s="8">
        <v>0</v>
      </c>
      <c r="V101" s="8">
        <v>0</v>
      </c>
      <c r="W101" s="8">
        <v>0</v>
      </c>
      <c r="X101" s="10">
        <v>0</v>
      </c>
      <c r="Y101" s="10">
        <v>0</v>
      </c>
      <c r="Z101" s="3">
        <f>SUM(F101:I101)</f>
        <v>1100</v>
      </c>
      <c r="AA101" s="5">
        <f>SUM(J101:M101)</f>
        <v>832</v>
      </c>
      <c r="AB101">
        <f t="shared" si="5"/>
        <v>268</v>
      </c>
      <c r="AC101" s="8">
        <f>SUM(N101:W101)</f>
        <v>0</v>
      </c>
      <c r="AD101">
        <f t="shared" si="6"/>
        <v>268</v>
      </c>
      <c r="AE101" s="10">
        <f>SUM(X101:Y101)</f>
        <v>0</v>
      </c>
      <c r="AF101">
        <f t="shared" si="7"/>
        <v>268</v>
      </c>
    </row>
    <row r="102" spans="1:32" x14ac:dyDescent="0.25">
      <c r="A102" t="s">
        <v>229</v>
      </c>
      <c r="B102" t="s">
        <v>230</v>
      </c>
      <c r="C102" s="13">
        <v>12</v>
      </c>
      <c r="D102" t="str">
        <f t="shared" si="8"/>
        <v>December</v>
      </c>
      <c r="E102">
        <v>2025</v>
      </c>
      <c r="F102" s="3">
        <v>1630.98</v>
      </c>
      <c r="G102" s="3">
        <v>0</v>
      </c>
      <c r="H102" s="3">
        <v>0</v>
      </c>
      <c r="I102" s="3">
        <v>0</v>
      </c>
      <c r="J102" s="5">
        <v>0</v>
      </c>
      <c r="K102" s="5">
        <v>20</v>
      </c>
      <c r="L102" s="5">
        <v>213</v>
      </c>
      <c r="M102" s="5">
        <v>0</v>
      </c>
      <c r="N102" s="8">
        <v>0</v>
      </c>
      <c r="O102" s="8">
        <v>0</v>
      </c>
      <c r="P102" s="8">
        <v>0</v>
      </c>
      <c r="Q102" s="8">
        <v>0</v>
      </c>
      <c r="R102" s="8">
        <v>0</v>
      </c>
      <c r="S102" s="8">
        <v>0</v>
      </c>
      <c r="T102" s="8">
        <v>0</v>
      </c>
      <c r="U102" s="8">
        <v>0</v>
      </c>
      <c r="V102" s="8">
        <v>0</v>
      </c>
      <c r="W102" s="8">
        <v>0</v>
      </c>
      <c r="X102" s="10">
        <v>0</v>
      </c>
      <c r="Y102" s="10">
        <v>0</v>
      </c>
      <c r="Z102" s="3">
        <f>SUM(F102:I102)</f>
        <v>1630.98</v>
      </c>
      <c r="AA102" s="5">
        <f>SUM(J102:M102)</f>
        <v>233</v>
      </c>
      <c r="AB102">
        <f t="shared" si="5"/>
        <v>1397.98</v>
      </c>
      <c r="AC102" s="8">
        <f>SUM(N102:W102)</f>
        <v>0</v>
      </c>
      <c r="AD102">
        <f t="shared" si="6"/>
        <v>1397.98</v>
      </c>
      <c r="AE102" s="10">
        <f>SUM(X102:Y102)</f>
        <v>0</v>
      </c>
      <c r="AF102">
        <f t="shared" si="7"/>
        <v>1397.98</v>
      </c>
    </row>
    <row r="103" spans="1:32" x14ac:dyDescent="0.25">
      <c r="A103" t="s">
        <v>231</v>
      </c>
      <c r="B103" t="s">
        <v>232</v>
      </c>
      <c r="C103" s="13">
        <v>12</v>
      </c>
      <c r="D103" t="str">
        <f t="shared" si="8"/>
        <v>December</v>
      </c>
      <c r="E103">
        <v>2025</v>
      </c>
      <c r="F103" s="3">
        <v>1630.98</v>
      </c>
      <c r="G103" s="3">
        <v>0</v>
      </c>
      <c r="H103" s="3">
        <v>0</v>
      </c>
      <c r="I103" s="3">
        <v>0</v>
      </c>
      <c r="J103" s="5">
        <v>0</v>
      </c>
      <c r="K103" s="5">
        <v>20</v>
      </c>
      <c r="L103" s="5">
        <v>167</v>
      </c>
      <c r="M103" s="5">
        <v>0</v>
      </c>
      <c r="N103" s="8">
        <v>0</v>
      </c>
      <c r="O103" s="8">
        <v>0</v>
      </c>
      <c r="P103" s="8">
        <v>0</v>
      </c>
      <c r="Q103" s="8">
        <v>0</v>
      </c>
      <c r="R103" s="8">
        <v>0</v>
      </c>
      <c r="S103" s="8">
        <v>0</v>
      </c>
      <c r="T103" s="8">
        <v>0</v>
      </c>
      <c r="U103" s="8">
        <v>0</v>
      </c>
      <c r="V103" s="8">
        <v>0</v>
      </c>
      <c r="W103" s="8">
        <v>0</v>
      </c>
      <c r="X103" s="10">
        <v>0</v>
      </c>
      <c r="Y103" s="10">
        <v>0</v>
      </c>
      <c r="Z103" s="3">
        <f>SUM(F103:I103)</f>
        <v>1630.98</v>
      </c>
      <c r="AA103" s="5">
        <f>SUM(J103:M103)</f>
        <v>187</v>
      </c>
      <c r="AB103">
        <f t="shared" si="5"/>
        <v>1443.98</v>
      </c>
      <c r="AC103" s="8">
        <f>SUM(N103:W103)</f>
        <v>0</v>
      </c>
      <c r="AD103">
        <f t="shared" si="6"/>
        <v>1443.98</v>
      </c>
      <c r="AE103" s="10">
        <f>SUM(X103:Y103)</f>
        <v>0</v>
      </c>
      <c r="AF103">
        <f t="shared" si="7"/>
        <v>1443.98</v>
      </c>
    </row>
    <row r="104" spans="1:32" x14ac:dyDescent="0.25">
      <c r="A104" t="s">
        <v>233</v>
      </c>
      <c r="B104" t="s">
        <v>234</v>
      </c>
      <c r="C104" s="13">
        <v>12</v>
      </c>
      <c r="D104" t="str">
        <f t="shared" si="8"/>
        <v>December</v>
      </c>
      <c r="E104">
        <v>2025</v>
      </c>
      <c r="F104" s="3">
        <v>2279.06</v>
      </c>
      <c r="G104" s="3">
        <v>0</v>
      </c>
      <c r="H104" s="3">
        <v>0</v>
      </c>
      <c r="I104" s="3">
        <v>0</v>
      </c>
      <c r="J104" s="5">
        <v>50</v>
      </c>
      <c r="K104" s="5">
        <v>20</v>
      </c>
      <c r="L104" s="5">
        <v>177</v>
      </c>
      <c r="M104" s="5">
        <v>0</v>
      </c>
      <c r="N104" s="8">
        <v>0</v>
      </c>
      <c r="O104" s="8">
        <v>0</v>
      </c>
      <c r="P104" s="8">
        <v>0</v>
      </c>
      <c r="Q104" s="8">
        <v>0</v>
      </c>
      <c r="R104" s="8">
        <v>0</v>
      </c>
      <c r="S104" s="8">
        <v>0</v>
      </c>
      <c r="T104" s="8">
        <v>0</v>
      </c>
      <c r="U104" s="8">
        <v>0</v>
      </c>
      <c r="V104" s="8">
        <v>0</v>
      </c>
      <c r="W104" s="8">
        <v>0</v>
      </c>
      <c r="X104" s="10">
        <v>0</v>
      </c>
      <c r="Y104" s="10">
        <v>0</v>
      </c>
      <c r="Z104" s="3">
        <f>SUM(F104:I104)</f>
        <v>2279.06</v>
      </c>
      <c r="AA104" s="5">
        <f>SUM(J104:M104)</f>
        <v>247</v>
      </c>
      <c r="AB104">
        <f t="shared" si="5"/>
        <v>2032.06</v>
      </c>
      <c r="AC104" s="8">
        <f>SUM(N104:W104)</f>
        <v>0</v>
      </c>
      <c r="AD104">
        <f t="shared" si="6"/>
        <v>2032.06</v>
      </c>
      <c r="AE104" s="10">
        <f>SUM(X104:Y104)</f>
        <v>0</v>
      </c>
      <c r="AF104">
        <f t="shared" si="7"/>
        <v>2032.06</v>
      </c>
    </row>
    <row r="105" spans="1:32" x14ac:dyDescent="0.25">
      <c r="A105" t="s">
        <v>235</v>
      </c>
      <c r="B105" t="s">
        <v>236</v>
      </c>
      <c r="C105" s="13">
        <v>12</v>
      </c>
      <c r="D105" t="str">
        <f t="shared" si="8"/>
        <v>December</v>
      </c>
      <c r="E105">
        <v>2025</v>
      </c>
      <c r="F105" s="3">
        <v>1503.92</v>
      </c>
      <c r="G105" s="3">
        <v>0</v>
      </c>
      <c r="H105" s="3">
        <v>0</v>
      </c>
      <c r="I105" s="3">
        <v>0</v>
      </c>
      <c r="J105" s="5">
        <v>50</v>
      </c>
      <c r="K105" s="5">
        <v>32</v>
      </c>
      <c r="L105" s="5">
        <v>181</v>
      </c>
      <c r="M105" s="5">
        <v>0</v>
      </c>
      <c r="N105" s="8">
        <v>40</v>
      </c>
      <c r="O105" s="8">
        <v>0</v>
      </c>
      <c r="P105" s="8">
        <v>0</v>
      </c>
      <c r="Q105" s="8">
        <v>0</v>
      </c>
      <c r="R105" s="8">
        <v>0</v>
      </c>
      <c r="S105" s="8">
        <v>0</v>
      </c>
      <c r="T105" s="8">
        <v>0</v>
      </c>
      <c r="U105" s="8">
        <v>0</v>
      </c>
      <c r="V105" s="8">
        <v>0</v>
      </c>
      <c r="W105" s="8">
        <v>0</v>
      </c>
      <c r="X105" s="10">
        <v>0</v>
      </c>
      <c r="Y105" s="10">
        <v>0</v>
      </c>
      <c r="Z105" s="3">
        <f>SUM(F105:I105)</f>
        <v>1503.92</v>
      </c>
      <c r="AA105" s="5">
        <f>SUM(J105:M105)</f>
        <v>263</v>
      </c>
      <c r="AB105">
        <f t="shared" si="5"/>
        <v>1240.92</v>
      </c>
      <c r="AC105" s="8">
        <f>SUM(N105:W105)</f>
        <v>40</v>
      </c>
      <c r="AD105">
        <f t="shared" si="6"/>
        <v>1200.92</v>
      </c>
      <c r="AE105" s="10">
        <f>SUM(X105:Y105)</f>
        <v>0</v>
      </c>
      <c r="AF105">
        <f t="shared" si="7"/>
        <v>1200.92</v>
      </c>
    </row>
    <row r="106" spans="1:32" x14ac:dyDescent="0.25">
      <c r="A106" t="s">
        <v>237</v>
      </c>
      <c r="B106" t="s">
        <v>238</v>
      </c>
      <c r="C106" s="13">
        <v>12</v>
      </c>
      <c r="D106" t="str">
        <f t="shared" si="8"/>
        <v>December</v>
      </c>
      <c r="E106">
        <v>2025</v>
      </c>
      <c r="F106" s="3">
        <v>1205.1199999999999</v>
      </c>
      <c r="G106" s="3">
        <v>0</v>
      </c>
      <c r="H106" s="3">
        <v>0</v>
      </c>
      <c r="I106" s="3">
        <v>0</v>
      </c>
      <c r="J106" s="5">
        <v>179.61</v>
      </c>
      <c r="K106" s="5">
        <v>20</v>
      </c>
      <c r="L106" s="5">
        <v>181</v>
      </c>
      <c r="M106" s="5">
        <v>0</v>
      </c>
      <c r="N106" s="8">
        <v>0</v>
      </c>
      <c r="O106" s="8">
        <v>0</v>
      </c>
      <c r="P106" s="8">
        <v>0</v>
      </c>
      <c r="Q106" s="8">
        <v>0</v>
      </c>
      <c r="R106" s="8">
        <v>0</v>
      </c>
      <c r="S106" s="8">
        <v>0</v>
      </c>
      <c r="T106" s="8">
        <v>0</v>
      </c>
      <c r="U106" s="8">
        <v>0</v>
      </c>
      <c r="V106" s="8">
        <v>0</v>
      </c>
      <c r="W106" s="8">
        <v>0</v>
      </c>
      <c r="X106" s="10">
        <v>0</v>
      </c>
      <c r="Y106" s="10">
        <v>0</v>
      </c>
      <c r="Z106" s="3">
        <f>SUM(F106:I106)</f>
        <v>1205.1199999999999</v>
      </c>
      <c r="AA106" s="5">
        <f>SUM(J106:M106)</f>
        <v>380.61</v>
      </c>
      <c r="AB106">
        <f t="shared" si="5"/>
        <v>824.50999999999988</v>
      </c>
      <c r="AC106" s="8">
        <f>SUM(N106:W106)</f>
        <v>0</v>
      </c>
      <c r="AD106">
        <f t="shared" si="6"/>
        <v>824.50999999999988</v>
      </c>
      <c r="AE106" s="10">
        <f>SUM(X106:Y106)</f>
        <v>0</v>
      </c>
      <c r="AF106">
        <f t="shared" si="7"/>
        <v>824.50999999999988</v>
      </c>
    </row>
    <row r="107" spans="1:32" x14ac:dyDescent="0.25">
      <c r="A107" t="s">
        <v>239</v>
      </c>
      <c r="B107" t="s">
        <v>240</v>
      </c>
      <c r="C107" s="13">
        <v>12</v>
      </c>
      <c r="D107" t="str">
        <f t="shared" si="8"/>
        <v>December</v>
      </c>
      <c r="E107">
        <v>2025</v>
      </c>
      <c r="F107" s="3">
        <v>559.20000000000005</v>
      </c>
      <c r="G107" s="3">
        <v>0</v>
      </c>
      <c r="H107" s="3">
        <v>0</v>
      </c>
      <c r="I107" s="3">
        <v>0</v>
      </c>
      <c r="J107" s="5">
        <v>0</v>
      </c>
      <c r="K107" s="5">
        <v>20</v>
      </c>
      <c r="L107" s="5">
        <v>166</v>
      </c>
      <c r="M107" s="5">
        <v>0</v>
      </c>
      <c r="N107" s="8">
        <v>0</v>
      </c>
      <c r="O107" s="8">
        <v>0</v>
      </c>
      <c r="P107" s="8">
        <v>0</v>
      </c>
      <c r="Q107" s="8">
        <v>0</v>
      </c>
      <c r="R107" s="8">
        <v>0</v>
      </c>
      <c r="S107" s="8">
        <v>0</v>
      </c>
      <c r="T107" s="8">
        <v>0</v>
      </c>
      <c r="U107" s="8">
        <v>0</v>
      </c>
      <c r="V107" s="8">
        <v>0</v>
      </c>
      <c r="W107" s="8">
        <v>0</v>
      </c>
      <c r="X107" s="10">
        <v>0</v>
      </c>
      <c r="Y107" s="10">
        <v>0</v>
      </c>
      <c r="Z107" s="3">
        <f>SUM(F107:I107)</f>
        <v>559.20000000000005</v>
      </c>
      <c r="AA107" s="5">
        <f>SUM(J107:M107)</f>
        <v>186</v>
      </c>
      <c r="AB107">
        <f t="shared" si="5"/>
        <v>373.20000000000005</v>
      </c>
      <c r="AC107" s="8">
        <f>SUM(N107:W107)</f>
        <v>0</v>
      </c>
      <c r="AD107">
        <f t="shared" si="6"/>
        <v>373.20000000000005</v>
      </c>
      <c r="AE107" s="10">
        <f>SUM(X107:Y107)</f>
        <v>0</v>
      </c>
      <c r="AF107">
        <f t="shared" si="7"/>
        <v>373.20000000000005</v>
      </c>
    </row>
    <row r="108" spans="1:32" x14ac:dyDescent="0.25">
      <c r="A108" t="s">
        <v>241</v>
      </c>
      <c r="B108" t="s">
        <v>242</v>
      </c>
      <c r="C108" s="13">
        <v>12</v>
      </c>
      <c r="D108" t="str">
        <f t="shared" si="8"/>
        <v>December</v>
      </c>
      <c r="E108">
        <v>2025</v>
      </c>
      <c r="F108" s="3">
        <v>699</v>
      </c>
      <c r="G108" s="3">
        <v>0</v>
      </c>
      <c r="H108" s="3">
        <v>0</v>
      </c>
      <c r="I108" s="3">
        <v>0</v>
      </c>
      <c r="J108" s="5">
        <v>0</v>
      </c>
      <c r="K108" s="5">
        <v>20</v>
      </c>
      <c r="L108" s="5">
        <v>166</v>
      </c>
      <c r="M108" s="5">
        <v>0</v>
      </c>
      <c r="N108" s="8">
        <v>0</v>
      </c>
      <c r="O108" s="8">
        <v>0</v>
      </c>
      <c r="P108" s="8">
        <v>0</v>
      </c>
      <c r="Q108" s="8">
        <v>0</v>
      </c>
      <c r="R108" s="8">
        <v>0</v>
      </c>
      <c r="S108" s="8">
        <v>0</v>
      </c>
      <c r="T108" s="8">
        <v>0</v>
      </c>
      <c r="U108" s="8">
        <v>0</v>
      </c>
      <c r="V108" s="8">
        <v>0</v>
      </c>
      <c r="W108" s="8">
        <v>0</v>
      </c>
      <c r="X108" s="10">
        <v>0</v>
      </c>
      <c r="Y108" s="10">
        <v>0</v>
      </c>
      <c r="Z108" s="3">
        <f>SUM(F108:I108)</f>
        <v>699</v>
      </c>
      <c r="AA108" s="5">
        <f>SUM(J108:M108)</f>
        <v>186</v>
      </c>
      <c r="AB108">
        <f t="shared" si="5"/>
        <v>513</v>
      </c>
      <c r="AC108" s="8">
        <f>SUM(N108:W108)</f>
        <v>0</v>
      </c>
      <c r="AD108">
        <f t="shared" si="6"/>
        <v>513</v>
      </c>
      <c r="AE108" s="10">
        <f>SUM(X108:Y108)</f>
        <v>0</v>
      </c>
      <c r="AF108">
        <f t="shared" si="7"/>
        <v>513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A8DBF-A03D-44A4-89BE-EC89722237F5}">
  <dimension ref="A3:G4"/>
  <sheetViews>
    <sheetView workbookViewId="0">
      <selection activeCell="A3" sqref="A3"/>
    </sheetView>
  </sheetViews>
  <sheetFormatPr defaultRowHeight="15" x14ac:dyDescent="0.25"/>
  <cols>
    <col min="1" max="1" width="20.5703125" bestFit="1" customWidth="1"/>
    <col min="2" max="2" width="17.7109375" bestFit="1" customWidth="1"/>
    <col min="3" max="3" width="18.28515625" bestFit="1" customWidth="1"/>
    <col min="4" max="4" width="21" bestFit="1" customWidth="1"/>
    <col min="5" max="5" width="26.140625" bestFit="1" customWidth="1"/>
    <col min="6" max="6" width="26.85546875" bestFit="1" customWidth="1"/>
    <col min="7" max="7" width="21.140625" bestFit="1" customWidth="1"/>
  </cols>
  <sheetData>
    <row r="3" spans="1:7" x14ac:dyDescent="0.25">
      <c r="A3" s="11" t="s">
        <v>244</v>
      </c>
      <c r="B3" s="11" t="s">
        <v>247</v>
      </c>
      <c r="C3" s="11" t="s">
        <v>248</v>
      </c>
      <c r="D3" s="11" t="s">
        <v>245</v>
      </c>
      <c r="E3" s="11" t="s">
        <v>249</v>
      </c>
      <c r="F3" s="11" t="s">
        <v>250</v>
      </c>
      <c r="G3" s="11" t="s">
        <v>246</v>
      </c>
    </row>
    <row r="4" spans="1:7" x14ac:dyDescent="0.25">
      <c r="A4" s="12">
        <v>224684.71000000005</v>
      </c>
      <c r="B4" s="12">
        <v>53075.64</v>
      </c>
      <c r="C4" s="12">
        <v>171609.07000000004</v>
      </c>
      <c r="D4" s="12">
        <v>4691.49</v>
      </c>
      <c r="E4" s="12">
        <v>166917.58000000005</v>
      </c>
      <c r="F4" s="12">
        <v>0</v>
      </c>
      <c r="G4" s="12">
        <v>166917.58000000005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5CBED-D69B-4288-9F9E-ED06907BFDA5}">
  <dimension ref="A3:H32"/>
  <sheetViews>
    <sheetView tabSelected="1" topLeftCell="A13" workbookViewId="0">
      <selection activeCell="F25" sqref="F25"/>
    </sheetView>
  </sheetViews>
  <sheetFormatPr defaultRowHeight="21.75" x14ac:dyDescent="0.6"/>
  <cols>
    <col min="1" max="1" width="18" style="16" bestFit="1" customWidth="1"/>
    <col min="2" max="2" width="25.140625" style="16" bestFit="1" customWidth="1"/>
    <col min="3" max="3" width="21.85546875" style="16" bestFit="1" customWidth="1"/>
    <col min="4" max="4" width="22" style="16" bestFit="1" customWidth="1"/>
    <col min="5" max="5" width="26" style="16" bestFit="1" customWidth="1"/>
    <col min="6" max="6" width="31.28515625" style="16" bestFit="1" customWidth="1"/>
    <col min="7" max="7" width="32.7109375" style="16" bestFit="1" customWidth="1"/>
    <col min="8" max="8" width="25.28515625" style="16" bestFit="1" customWidth="1"/>
    <col min="9" max="16384" width="9.140625" style="16"/>
  </cols>
  <sheetData>
    <row r="3" spans="1:8" x14ac:dyDescent="0.6">
      <c r="A3" s="14" t="s">
        <v>251</v>
      </c>
      <c r="B3" s="15" t="s">
        <v>244</v>
      </c>
      <c r="C3" s="15" t="s">
        <v>247</v>
      </c>
      <c r="D3" s="15" t="s">
        <v>248</v>
      </c>
      <c r="E3" s="15" t="s">
        <v>245</v>
      </c>
      <c r="F3" s="15" t="s">
        <v>249</v>
      </c>
      <c r="G3" s="15" t="s">
        <v>250</v>
      </c>
      <c r="H3" s="15" t="s">
        <v>246</v>
      </c>
    </row>
    <row r="4" spans="1:8" x14ac:dyDescent="0.6">
      <c r="A4" s="15" t="s">
        <v>257</v>
      </c>
      <c r="B4" s="17">
        <v>17647.36</v>
      </c>
      <c r="C4" s="17">
        <v>3924.7999999999997</v>
      </c>
      <c r="D4" s="17">
        <v>13722.56</v>
      </c>
      <c r="E4" s="17">
        <v>78.23</v>
      </c>
      <c r="F4" s="17">
        <v>13644.33</v>
      </c>
      <c r="G4" s="17">
        <v>0</v>
      </c>
      <c r="H4" s="17">
        <v>13644.33</v>
      </c>
    </row>
    <row r="5" spans="1:8" x14ac:dyDescent="0.6">
      <c r="A5" s="15" t="s">
        <v>258</v>
      </c>
      <c r="B5" s="17">
        <v>17404.099999999999</v>
      </c>
      <c r="C5" s="17">
        <v>1912.4399999999998</v>
      </c>
      <c r="D5" s="17">
        <v>15491.66</v>
      </c>
      <c r="E5" s="17">
        <v>0</v>
      </c>
      <c r="F5" s="17">
        <v>15491.66</v>
      </c>
      <c r="G5" s="17">
        <v>0</v>
      </c>
      <c r="H5" s="17">
        <v>15491.66</v>
      </c>
    </row>
    <row r="6" spans="1:8" x14ac:dyDescent="0.6">
      <c r="A6" s="15" t="s">
        <v>259</v>
      </c>
      <c r="B6" s="17">
        <v>10118.9</v>
      </c>
      <c r="C6" s="17">
        <v>1577</v>
      </c>
      <c r="D6" s="17">
        <v>8541.9</v>
      </c>
      <c r="E6" s="17">
        <v>1003.28</v>
      </c>
      <c r="F6" s="17">
        <v>7538.6200000000008</v>
      </c>
      <c r="G6" s="17">
        <v>0</v>
      </c>
      <c r="H6" s="17">
        <v>7538.6200000000008</v>
      </c>
    </row>
    <row r="7" spans="1:8" x14ac:dyDescent="0.6">
      <c r="A7" s="15" t="s">
        <v>260</v>
      </c>
      <c r="B7" s="17">
        <v>56941.53</v>
      </c>
      <c r="C7" s="17">
        <v>20927.73</v>
      </c>
      <c r="D7" s="17">
        <v>36013.800000000003</v>
      </c>
      <c r="E7" s="17">
        <v>1025.75</v>
      </c>
      <c r="F7" s="17">
        <v>34988.050000000003</v>
      </c>
      <c r="G7" s="17">
        <v>0</v>
      </c>
      <c r="H7" s="17">
        <v>34988.050000000003</v>
      </c>
    </row>
    <row r="8" spans="1:8" x14ac:dyDescent="0.6">
      <c r="A8" s="15" t="s">
        <v>261</v>
      </c>
      <c r="B8" s="17">
        <v>14774.05</v>
      </c>
      <c r="C8" s="17">
        <v>3574.26</v>
      </c>
      <c r="D8" s="17">
        <v>11199.789999999999</v>
      </c>
      <c r="E8" s="17">
        <v>100</v>
      </c>
      <c r="F8" s="17">
        <v>11099.789999999999</v>
      </c>
      <c r="G8" s="17">
        <v>0</v>
      </c>
      <c r="H8" s="17">
        <v>11099.789999999999</v>
      </c>
    </row>
    <row r="9" spans="1:8" x14ac:dyDescent="0.6">
      <c r="A9" s="15" t="s">
        <v>262</v>
      </c>
      <c r="B9" s="17">
        <v>9146.4700000000012</v>
      </c>
      <c r="C9" s="17">
        <v>2507.9</v>
      </c>
      <c r="D9" s="17">
        <v>6638.57</v>
      </c>
      <c r="E9" s="17">
        <v>0</v>
      </c>
      <c r="F9" s="17">
        <v>6638.57</v>
      </c>
      <c r="G9" s="17">
        <v>0</v>
      </c>
      <c r="H9" s="17">
        <v>6638.57</v>
      </c>
    </row>
    <row r="10" spans="1:8" x14ac:dyDescent="0.6">
      <c r="A10" s="15" t="s">
        <v>263</v>
      </c>
      <c r="B10" s="17">
        <v>9169.16</v>
      </c>
      <c r="C10" s="17">
        <v>1244</v>
      </c>
      <c r="D10" s="17">
        <v>7925.16</v>
      </c>
      <c r="E10" s="17">
        <v>645</v>
      </c>
      <c r="F10" s="17">
        <v>7280.16</v>
      </c>
      <c r="G10" s="17">
        <v>0</v>
      </c>
      <c r="H10" s="17">
        <v>7280.16</v>
      </c>
    </row>
    <row r="11" spans="1:8" x14ac:dyDescent="0.6">
      <c r="A11" s="15" t="s">
        <v>264</v>
      </c>
      <c r="B11" s="17">
        <v>8948.35</v>
      </c>
      <c r="C11" s="17">
        <v>2823.24</v>
      </c>
      <c r="D11" s="17">
        <v>6125.11</v>
      </c>
      <c r="E11" s="17">
        <v>0</v>
      </c>
      <c r="F11" s="17">
        <v>6125.11</v>
      </c>
      <c r="G11" s="17">
        <v>0</v>
      </c>
      <c r="H11" s="17">
        <v>6125.11</v>
      </c>
    </row>
    <row r="12" spans="1:8" x14ac:dyDescent="0.6">
      <c r="A12" s="15" t="s">
        <v>265</v>
      </c>
      <c r="B12" s="17">
        <v>30840.420000000002</v>
      </c>
      <c r="C12" s="17">
        <v>4414.66</v>
      </c>
      <c r="D12" s="17">
        <v>26425.760000000002</v>
      </c>
      <c r="E12" s="17">
        <v>1549.23</v>
      </c>
      <c r="F12" s="17">
        <v>24876.53</v>
      </c>
      <c r="G12" s="17">
        <v>0</v>
      </c>
      <c r="H12" s="17">
        <v>24876.53</v>
      </c>
    </row>
    <row r="13" spans="1:8" x14ac:dyDescent="0.6">
      <c r="A13" s="15" t="s">
        <v>266</v>
      </c>
      <c r="B13" s="17">
        <v>24379.54</v>
      </c>
      <c r="C13" s="17">
        <v>3883.62</v>
      </c>
      <c r="D13" s="17">
        <v>20495.919999999998</v>
      </c>
      <c r="E13" s="17">
        <v>250</v>
      </c>
      <c r="F13" s="17">
        <v>20245.920000000002</v>
      </c>
      <c r="G13" s="17">
        <v>0</v>
      </c>
      <c r="H13" s="17">
        <v>20245.920000000002</v>
      </c>
    </row>
    <row r="14" spans="1:8" x14ac:dyDescent="0.6">
      <c r="A14" s="15" t="s">
        <v>267</v>
      </c>
      <c r="B14" s="17">
        <v>2468.64</v>
      </c>
      <c r="C14" s="17">
        <v>923</v>
      </c>
      <c r="D14" s="17">
        <v>1545.6399999999999</v>
      </c>
      <c r="E14" s="17">
        <v>0</v>
      </c>
      <c r="F14" s="17">
        <v>1545.6399999999999</v>
      </c>
      <c r="G14" s="17">
        <v>0</v>
      </c>
      <c r="H14" s="17">
        <v>1545.6399999999999</v>
      </c>
    </row>
    <row r="15" spans="1:8" x14ac:dyDescent="0.6">
      <c r="A15" s="15" t="s">
        <v>268</v>
      </c>
      <c r="B15" s="17">
        <v>22846.190000000002</v>
      </c>
      <c r="C15" s="17">
        <v>5362.99</v>
      </c>
      <c r="D15" s="17">
        <v>17483.199999999997</v>
      </c>
      <c r="E15" s="17">
        <v>40</v>
      </c>
      <c r="F15" s="17">
        <v>17443.199999999997</v>
      </c>
      <c r="G15" s="17">
        <v>0</v>
      </c>
      <c r="H15" s="17">
        <v>17443.199999999997</v>
      </c>
    </row>
    <row r="16" spans="1:8" x14ac:dyDescent="0.6">
      <c r="A16" s="15" t="s">
        <v>252</v>
      </c>
      <c r="B16" s="17">
        <v>224684.71000000005</v>
      </c>
      <c r="C16" s="17">
        <v>53075.64</v>
      </c>
      <c r="D16" s="17">
        <v>171609.07</v>
      </c>
      <c r="E16" s="17">
        <v>4691.49</v>
      </c>
      <c r="F16" s="17">
        <v>166917.58000000002</v>
      </c>
      <c r="G16" s="17">
        <v>0</v>
      </c>
      <c r="H16" s="17">
        <v>166917.58000000002</v>
      </c>
    </row>
    <row r="19" spans="1:8" x14ac:dyDescent="0.6">
      <c r="A19" s="14" t="s">
        <v>251</v>
      </c>
      <c r="B19" s="14" t="s">
        <v>244</v>
      </c>
      <c r="C19" s="15" t="s">
        <v>247</v>
      </c>
      <c r="D19" s="15" t="s">
        <v>248</v>
      </c>
      <c r="E19" s="15" t="s">
        <v>245</v>
      </c>
      <c r="F19" s="15" t="s">
        <v>249</v>
      </c>
      <c r="G19" s="15" t="s">
        <v>250</v>
      </c>
      <c r="H19" s="15" t="s">
        <v>246</v>
      </c>
    </row>
    <row r="20" spans="1:8" x14ac:dyDescent="0.6">
      <c r="A20" s="15" t="s">
        <v>257</v>
      </c>
      <c r="B20" s="17">
        <v>17647.36</v>
      </c>
      <c r="C20" s="17">
        <v>3924.7999999999997</v>
      </c>
      <c r="D20" s="17">
        <v>13722.56</v>
      </c>
      <c r="E20" s="17">
        <v>78.23</v>
      </c>
      <c r="F20" s="17">
        <v>13644.33</v>
      </c>
      <c r="G20" s="17">
        <v>0</v>
      </c>
      <c r="H20" s="17">
        <v>13644.33</v>
      </c>
    </row>
    <row r="21" spans="1:8" x14ac:dyDescent="0.6">
      <c r="A21" s="15" t="s">
        <v>258</v>
      </c>
      <c r="B21" s="17">
        <v>17404.099999999999</v>
      </c>
      <c r="C21" s="17">
        <v>1912.4399999999998</v>
      </c>
      <c r="D21" s="17">
        <v>15491.66</v>
      </c>
      <c r="E21" s="17">
        <v>0</v>
      </c>
      <c r="F21" s="17">
        <v>15491.66</v>
      </c>
      <c r="G21" s="17">
        <v>0</v>
      </c>
      <c r="H21" s="17">
        <v>15491.66</v>
      </c>
    </row>
    <row r="22" spans="1:8" x14ac:dyDescent="0.6">
      <c r="A22" s="15" t="s">
        <v>259</v>
      </c>
      <c r="B22" s="17">
        <v>10118.9</v>
      </c>
      <c r="C22" s="17">
        <v>1577</v>
      </c>
      <c r="D22" s="17">
        <v>8541.9</v>
      </c>
      <c r="E22" s="17">
        <v>1003.28</v>
      </c>
      <c r="F22" s="17">
        <v>7538.6200000000008</v>
      </c>
      <c r="G22" s="17">
        <v>0</v>
      </c>
      <c r="H22" s="17">
        <v>7538.6200000000008</v>
      </c>
    </row>
    <row r="23" spans="1:8" x14ac:dyDescent="0.6">
      <c r="A23" s="15" t="s">
        <v>260</v>
      </c>
      <c r="B23" s="17">
        <v>56941.53</v>
      </c>
      <c r="C23" s="17">
        <v>20927.73</v>
      </c>
      <c r="D23" s="17">
        <v>36013.800000000003</v>
      </c>
      <c r="E23" s="17">
        <v>1025.75</v>
      </c>
      <c r="F23" s="17">
        <v>34988.050000000003</v>
      </c>
      <c r="G23" s="17">
        <v>0</v>
      </c>
      <c r="H23" s="17">
        <v>34988.050000000003</v>
      </c>
    </row>
    <row r="24" spans="1:8" x14ac:dyDescent="0.6">
      <c r="A24" s="15" t="s">
        <v>261</v>
      </c>
      <c r="B24" s="17">
        <v>14774.05</v>
      </c>
      <c r="C24" s="17">
        <v>3574.26</v>
      </c>
      <c r="D24" s="17">
        <v>11199.789999999999</v>
      </c>
      <c r="E24" s="17">
        <v>100</v>
      </c>
      <c r="F24" s="17">
        <v>11099.789999999999</v>
      </c>
      <c r="G24" s="17">
        <v>0</v>
      </c>
      <c r="H24" s="17">
        <v>11099.789999999999</v>
      </c>
    </row>
    <row r="25" spans="1:8" x14ac:dyDescent="0.6">
      <c r="A25" s="15" t="s">
        <v>262</v>
      </c>
      <c r="B25" s="17">
        <v>9146.4700000000012</v>
      </c>
      <c r="C25" s="17">
        <v>2507.9</v>
      </c>
      <c r="D25" s="17">
        <v>6638.57</v>
      </c>
      <c r="E25" s="17">
        <v>0</v>
      </c>
      <c r="F25" s="17">
        <v>6638.57</v>
      </c>
      <c r="G25" s="17">
        <v>0</v>
      </c>
      <c r="H25" s="17">
        <v>6638.57</v>
      </c>
    </row>
    <row r="26" spans="1:8" x14ac:dyDescent="0.6">
      <c r="A26" s="15" t="s">
        <v>263</v>
      </c>
      <c r="B26" s="17">
        <v>9169.16</v>
      </c>
      <c r="C26" s="17">
        <v>1244</v>
      </c>
      <c r="D26" s="17">
        <v>7925.16</v>
      </c>
      <c r="E26" s="17">
        <v>645</v>
      </c>
      <c r="F26" s="17">
        <v>7280.16</v>
      </c>
      <c r="G26" s="17">
        <v>0</v>
      </c>
      <c r="H26" s="17">
        <v>7280.16</v>
      </c>
    </row>
    <row r="27" spans="1:8" x14ac:dyDescent="0.6">
      <c r="A27" s="15" t="s">
        <v>264</v>
      </c>
      <c r="B27" s="17">
        <v>8948.35</v>
      </c>
      <c r="C27" s="17">
        <v>2823.24</v>
      </c>
      <c r="D27" s="17">
        <v>6125.11</v>
      </c>
      <c r="E27" s="17">
        <v>0</v>
      </c>
      <c r="F27" s="17">
        <v>6125.11</v>
      </c>
      <c r="G27" s="17">
        <v>0</v>
      </c>
      <c r="H27" s="17">
        <v>6125.11</v>
      </c>
    </row>
    <row r="28" spans="1:8" x14ac:dyDescent="0.6">
      <c r="A28" s="15" t="s">
        <v>265</v>
      </c>
      <c r="B28" s="17">
        <v>30840.420000000002</v>
      </c>
      <c r="C28" s="17">
        <v>4414.66</v>
      </c>
      <c r="D28" s="17">
        <v>26425.760000000002</v>
      </c>
      <c r="E28" s="17">
        <v>1549.23</v>
      </c>
      <c r="F28" s="17">
        <v>24876.53</v>
      </c>
      <c r="G28" s="17">
        <v>0</v>
      </c>
      <c r="H28" s="17">
        <v>24876.53</v>
      </c>
    </row>
    <row r="29" spans="1:8" x14ac:dyDescent="0.6">
      <c r="A29" s="15" t="s">
        <v>266</v>
      </c>
      <c r="B29" s="17">
        <v>24379.54</v>
      </c>
      <c r="C29" s="17">
        <v>3883.62</v>
      </c>
      <c r="D29" s="17">
        <v>20495.919999999998</v>
      </c>
      <c r="E29" s="17">
        <v>250</v>
      </c>
      <c r="F29" s="17">
        <v>20245.920000000002</v>
      </c>
      <c r="G29" s="17">
        <v>0</v>
      </c>
      <c r="H29" s="17">
        <v>20245.920000000002</v>
      </c>
    </row>
    <row r="30" spans="1:8" x14ac:dyDescent="0.6">
      <c r="A30" s="15" t="s">
        <v>267</v>
      </c>
      <c r="B30" s="17">
        <v>2468.64</v>
      </c>
      <c r="C30" s="17">
        <v>923</v>
      </c>
      <c r="D30" s="17">
        <v>1545.6399999999999</v>
      </c>
      <c r="E30" s="17">
        <v>0</v>
      </c>
      <c r="F30" s="17">
        <v>1545.6399999999999</v>
      </c>
      <c r="G30" s="17">
        <v>0</v>
      </c>
      <c r="H30" s="17">
        <v>1545.6399999999999</v>
      </c>
    </row>
    <row r="31" spans="1:8" x14ac:dyDescent="0.6">
      <c r="A31" s="15" t="s">
        <v>268</v>
      </c>
      <c r="B31" s="17">
        <v>22846.190000000002</v>
      </c>
      <c r="C31" s="17">
        <v>5362.99</v>
      </c>
      <c r="D31" s="17">
        <v>17483.199999999997</v>
      </c>
      <c r="E31" s="17">
        <v>40</v>
      </c>
      <c r="F31" s="17">
        <v>17443.199999999997</v>
      </c>
      <c r="G31" s="17">
        <v>0</v>
      </c>
      <c r="H31" s="17">
        <v>17443.199999999997</v>
      </c>
    </row>
    <row r="32" spans="1:8" x14ac:dyDescent="0.6">
      <c r="A32" s="15" t="s">
        <v>252</v>
      </c>
      <c r="B32" s="17">
        <v>224684.71000000005</v>
      </c>
      <c r="C32" s="17">
        <v>53075.64</v>
      </c>
      <c r="D32" s="17">
        <v>171609.07</v>
      </c>
      <c r="E32" s="17">
        <v>4691.49</v>
      </c>
      <c r="F32" s="17">
        <v>166917.58000000002</v>
      </c>
      <c r="G32" s="17">
        <v>0</v>
      </c>
      <c r="H32" s="17">
        <v>166917.58000000002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Annual P&amp;L</vt:lpstr>
      <vt:lpstr>Monthly P&amp;L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Comand Center</cp:lastModifiedBy>
  <dcterms:created xsi:type="dcterms:W3CDTF">2026-09-15T07:57:52Z</dcterms:created>
  <dcterms:modified xsi:type="dcterms:W3CDTF">2026-09-15T09:58:02Z</dcterms:modified>
</cp:coreProperties>
</file>